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Standings" sheetId="1" r:id="rId5"/>
    <sheet state="visible" name="Team Hub" sheetId="2" r:id="rId6"/>
    <sheet state="visible" name="Raw Data" sheetId="3" r:id="rId7"/>
  </sheets>
  <definedNames>
    <definedName hidden="1" localSheetId="0" name="_xlnm._FilterDatabase">'Live Standings'!$A$1:$AZ$132</definedName>
  </definedNames>
  <calcPr/>
</workbook>
</file>

<file path=xl/sharedStrings.xml><?xml version="1.0" encoding="utf-8"?>
<sst xmlns="http://schemas.openxmlformats.org/spreadsheetml/2006/main" count="5029" uniqueCount="273">
  <si>
    <t>Email Address</t>
  </si>
  <si>
    <t>Total Points</t>
  </si>
  <si>
    <t>Teams Remaining</t>
  </si>
  <si>
    <t>1 Seed</t>
  </si>
  <si>
    <t>Pts1</t>
  </si>
  <si>
    <t>In1</t>
  </si>
  <si>
    <t>2 Seed</t>
  </si>
  <si>
    <t>Pts2</t>
  </si>
  <si>
    <t>In2</t>
  </si>
  <si>
    <t>3 Seed</t>
  </si>
  <si>
    <t>Pts3</t>
  </si>
  <si>
    <t>In3</t>
  </si>
  <si>
    <t>4 Seed</t>
  </si>
  <si>
    <t>Pts4</t>
  </si>
  <si>
    <t>In4</t>
  </si>
  <si>
    <t>5 Seed</t>
  </si>
  <si>
    <t>Pts5</t>
  </si>
  <si>
    <t>In5</t>
  </si>
  <si>
    <t>6 Seed</t>
  </si>
  <si>
    <t>Pts6</t>
  </si>
  <si>
    <t>In6</t>
  </si>
  <si>
    <t>7 Seed</t>
  </si>
  <si>
    <t>Pts7</t>
  </si>
  <si>
    <t>In7</t>
  </si>
  <si>
    <t>8 Seed</t>
  </si>
  <si>
    <t>Pts8</t>
  </si>
  <si>
    <t>In8</t>
  </si>
  <si>
    <t>9 Seed</t>
  </si>
  <si>
    <t>Pts9</t>
  </si>
  <si>
    <t>In9</t>
  </si>
  <si>
    <t>10 Seed</t>
  </si>
  <si>
    <t>Pts10</t>
  </si>
  <si>
    <t>In10</t>
  </si>
  <si>
    <t>11 Seed</t>
  </si>
  <si>
    <t>Pts11</t>
  </si>
  <si>
    <t>In11</t>
  </si>
  <si>
    <t>12 Seed</t>
  </si>
  <si>
    <t>Pts12</t>
  </si>
  <si>
    <t>In12</t>
  </si>
  <si>
    <t>13 Seed</t>
  </si>
  <si>
    <t>Pts13</t>
  </si>
  <si>
    <t>In13</t>
  </si>
  <si>
    <t>14 Seed</t>
  </si>
  <si>
    <t>Pts14</t>
  </si>
  <si>
    <t>In14</t>
  </si>
  <si>
    <t>15 Seed</t>
  </si>
  <si>
    <t>Pts15</t>
  </si>
  <si>
    <t>In15</t>
  </si>
  <si>
    <t>16 Seed</t>
  </si>
  <si>
    <t>Pts16</t>
  </si>
  <si>
    <t>In16</t>
  </si>
  <si>
    <t>Payment</t>
  </si>
  <si>
    <t>charlie.ausbrook9@gmail.com</t>
  </si>
  <si>
    <t>Duke</t>
  </si>
  <si>
    <t>Tennessee</t>
  </si>
  <si>
    <t>Texas Tech</t>
  </si>
  <si>
    <t>Arizona</t>
  </si>
  <si>
    <t>Michigan</t>
  </si>
  <si>
    <t>Ole Miss</t>
  </si>
  <si>
    <t>UCLA</t>
  </si>
  <si>
    <t>UConn</t>
  </si>
  <si>
    <t>Creighton</t>
  </si>
  <si>
    <t>Arkansas</t>
  </si>
  <si>
    <t>Texas / Xavier</t>
  </si>
  <si>
    <t>Colorado State</t>
  </si>
  <si>
    <t>Grand Canyon</t>
  </si>
  <si>
    <t>Troy</t>
  </si>
  <si>
    <t>Omaha</t>
  </si>
  <si>
    <t>Norfolk State</t>
  </si>
  <si>
    <t>Venmo (Send to @Ryan-Reynolds-14)</t>
  </si>
  <si>
    <t>phugo93@gmail.com</t>
  </si>
  <si>
    <t>Florida</t>
  </si>
  <si>
    <t>Alabama</t>
  </si>
  <si>
    <t>Kentucky</t>
  </si>
  <si>
    <t>Purdue</t>
  </si>
  <si>
    <t>Marquette</t>
  </si>
  <si>
    <t>Gonzaga</t>
  </si>
  <si>
    <t>High Point</t>
  </si>
  <si>
    <t>Montana</t>
  </si>
  <si>
    <t>Bryant</t>
  </si>
  <si>
    <t>kippcharlie@yahoo.com</t>
  </si>
  <si>
    <t>Michigan State</t>
  </si>
  <si>
    <t>BYU</t>
  </si>
  <si>
    <t>Kansas</t>
  </si>
  <si>
    <t>Oklahoma</t>
  </si>
  <si>
    <t>New Mexico</t>
  </si>
  <si>
    <t>Drake</t>
  </si>
  <si>
    <t>McNeese</t>
  </si>
  <si>
    <t>Yale</t>
  </si>
  <si>
    <t>Lipscomb</t>
  </si>
  <si>
    <t>mightymouse2233@hotmail.com</t>
  </si>
  <si>
    <t>Auburn</t>
  </si>
  <si>
    <t>Illinois</t>
  </si>
  <si>
    <t>Saint Mary's</t>
  </si>
  <si>
    <t>Baylor</t>
  </si>
  <si>
    <t>SIU Edwardsville</t>
  </si>
  <si>
    <t>michaelshutt44@gmail.com</t>
  </si>
  <si>
    <t>Maryland</t>
  </si>
  <si>
    <t>San Diego State / UNC</t>
  </si>
  <si>
    <t>St Francis / Alabama State</t>
  </si>
  <si>
    <t>rebekah.ausbrook@gmail.com</t>
  </si>
  <si>
    <t>Wisconsin</t>
  </si>
  <si>
    <t>Oregon</t>
  </si>
  <si>
    <t>Mount St Mary's / American</t>
  </si>
  <si>
    <t>jblombach@gmail.com</t>
  </si>
  <si>
    <t>Robert Morris</t>
  </si>
  <si>
    <t>mikespillson@gmail.com</t>
  </si>
  <si>
    <t>UC San Diego</t>
  </si>
  <si>
    <t>Michael.David.Mitzner@gmail.com</t>
  </si>
  <si>
    <t>St John's</t>
  </si>
  <si>
    <t>Akron</t>
  </si>
  <si>
    <t>reid.phillips01@gmail.com</t>
  </si>
  <si>
    <t>sachinhdesai@gmail.com</t>
  </si>
  <si>
    <t>Missouri</t>
  </si>
  <si>
    <t>Georgia</t>
  </si>
  <si>
    <t>thompskm1@gmail.com</t>
  </si>
  <si>
    <t>VCU</t>
  </si>
  <si>
    <t>UNC Wilmington</t>
  </si>
  <si>
    <t>joshua.penix@martin.kyschools.us</t>
  </si>
  <si>
    <t>PayPal (Send to ReynoldsR5@yahoo.com)</t>
  </si>
  <si>
    <t>dougcordi@gmail.com</t>
  </si>
  <si>
    <t>Iowa State</t>
  </si>
  <si>
    <t>nicholastaubes@gmail.com</t>
  </si>
  <si>
    <t>Vanderbilt</t>
  </si>
  <si>
    <t>aaronrosen94@gmail.com</t>
  </si>
  <si>
    <t>Houston</t>
  </si>
  <si>
    <t>Louisville</t>
  </si>
  <si>
    <t>mdornb2@gmail.com</t>
  </si>
  <si>
    <t>dillan@spendr.com</t>
  </si>
  <si>
    <t>Wofford</t>
  </si>
  <si>
    <t>maubrey1994@gmail.com</t>
  </si>
  <si>
    <t>rossoma8@gmail.com</t>
  </si>
  <si>
    <t>Clemson</t>
  </si>
  <si>
    <t>jhedrick0820@gmail.com</t>
  </si>
  <si>
    <t>billhoke@comcast.net</t>
  </si>
  <si>
    <t>nickberghane@gmail.com</t>
  </si>
  <si>
    <t>Memphis</t>
  </si>
  <si>
    <t>tantritch@gmail.com</t>
  </si>
  <si>
    <t>Liberty</t>
  </si>
  <si>
    <t>shaneddoane@gmail.com</t>
  </si>
  <si>
    <t>rjm5001@gmail.com</t>
  </si>
  <si>
    <t>wjrosenbaum@gmail.com</t>
  </si>
  <si>
    <t>Texas A&amp;M</t>
  </si>
  <si>
    <t>reed.deckard@gmail.com</t>
  </si>
  <si>
    <t>rhanley28@gmail.com</t>
  </si>
  <si>
    <t>mark_perreault@outlook.com</t>
  </si>
  <si>
    <t>derektnewman@gmail.com</t>
  </si>
  <si>
    <t>mike.cagan@gmail.com</t>
  </si>
  <si>
    <t>Apple Pay (Send to 1-774-258-1006)</t>
  </si>
  <si>
    <t>esweep1@yahoo.com</t>
  </si>
  <si>
    <t>joncarpenter11@gmail.com</t>
  </si>
  <si>
    <t>mcubowski@gmail.com</t>
  </si>
  <si>
    <t>zachary.husain@gmail.com</t>
  </si>
  <si>
    <t>kpanduku@gmail.com</t>
  </si>
  <si>
    <t>Utah State</t>
  </si>
  <si>
    <t>mitchelhazelett@gmail.com</t>
  </si>
  <si>
    <t>mzelek12@gmail.com</t>
  </si>
  <si>
    <t>dcrites31@gmail.com</t>
  </si>
  <si>
    <t>aaronkreul@gmail.com</t>
  </si>
  <si>
    <t>grant31988@aol.com</t>
  </si>
  <si>
    <t>austinschneider1997@gmail.com</t>
  </si>
  <si>
    <t>devon.gwin@gmail.com</t>
  </si>
  <si>
    <t>kaleykessler516@gmail.com</t>
  </si>
  <si>
    <t>broadnax.lam@gmail.com</t>
  </si>
  <si>
    <t>melinda.miley94@gmail.com</t>
  </si>
  <si>
    <t>sithens@yahoo.com</t>
  </si>
  <si>
    <t>T.Casco86@gmail.com</t>
  </si>
  <si>
    <t>tairy.itamar@gmail.com</t>
  </si>
  <si>
    <t>jackshirley05@gmail.com</t>
  </si>
  <si>
    <t>saralarson94@gmail.com</t>
  </si>
  <si>
    <t>willrosato@gmail.com</t>
  </si>
  <si>
    <t>sarahwallace127@gmail.com</t>
  </si>
  <si>
    <t>CoachStartzer@gmail.com</t>
  </si>
  <si>
    <t>ryanpstew@gmail.com</t>
  </si>
  <si>
    <t>david.db.bernstein@gmail.com</t>
  </si>
  <si>
    <t>rjubowski@gmail.com</t>
  </si>
  <si>
    <t>sarah.janjua@gmail.com</t>
  </si>
  <si>
    <t>matthewthoke@icloud.com</t>
  </si>
  <si>
    <t>robertfnaylor1992@gmail.com</t>
  </si>
  <si>
    <t>jeden4232@gmail.com</t>
  </si>
  <si>
    <t>andrew.brunks@gmail.com</t>
  </si>
  <si>
    <t>adam_touw@yahoo.com</t>
  </si>
  <si>
    <t>mhanley@fmgfinancialservices.com</t>
  </si>
  <si>
    <t>ijc33@hotmail.com</t>
  </si>
  <si>
    <t>sagakhaneh@gmail.com</t>
  </si>
  <si>
    <t>ajwallace127@gmail.com</t>
  </si>
  <si>
    <t>reynoldsr5@yahoo.com</t>
  </si>
  <si>
    <t>kanasjr@gmail.com</t>
  </si>
  <si>
    <t>Mississippi State</t>
  </si>
  <si>
    <t>caitlin.moore012@gmail.com</t>
  </si>
  <si>
    <t>odthird@gmail.com</t>
  </si>
  <si>
    <t>bremmey1@gmail.com</t>
  </si>
  <si>
    <t>Cschwa@gmail.com</t>
  </si>
  <si>
    <t>kewlju@yahoo.com</t>
  </si>
  <si>
    <t>jmartorano1@gmail.com</t>
  </si>
  <si>
    <t>breynolds3324@gmail.com</t>
  </si>
  <si>
    <t>dacresm@gmail.com</t>
  </si>
  <si>
    <t>eric.s.oconnell@gmail.com</t>
  </si>
  <si>
    <t>max.r.foreman@gmail.com</t>
  </si>
  <si>
    <t>samlever99@gmail.com</t>
  </si>
  <si>
    <t>bcent@me.com</t>
  </si>
  <si>
    <t>flahertykelsey@gmail.com</t>
  </si>
  <si>
    <t>lfxmalloy@gmail.com</t>
  </si>
  <si>
    <t>jrbecko@gmail.com</t>
  </si>
  <si>
    <t>mtriplep@gmail.com</t>
  </si>
  <si>
    <t>maurerderek1@gmail.com</t>
  </si>
  <si>
    <t>michael.s.deremo@gmail.com</t>
  </si>
  <si>
    <t>LA_Slauncher@yahoo.com</t>
  </si>
  <si>
    <t>michael.andrew.mcgraw@gmail.com</t>
  </si>
  <si>
    <t>Auston46@gmail.com</t>
  </si>
  <si>
    <t>patrick.j.omahoney94@gmail.com</t>
  </si>
  <si>
    <t>crubinowicz@gmail.com</t>
  </si>
  <si>
    <t>chrisfrance4@gmail.com</t>
  </si>
  <si>
    <t>joeabosco@gmail.com</t>
  </si>
  <si>
    <t>cortneybefan@gmail.com</t>
  </si>
  <si>
    <t>Jimryan50@gmail.com</t>
  </si>
  <si>
    <t>wickman10@gmail.com</t>
  </si>
  <si>
    <t>Bhughes818@gmail.com</t>
  </si>
  <si>
    <t>Ω</t>
  </si>
  <si>
    <t>nicoledubrow@comcast.net</t>
  </si>
  <si>
    <t>ekostamaa@gmail.com</t>
  </si>
  <si>
    <t>mceskri@gmail.com</t>
  </si>
  <si>
    <t>Feltsy4@gmail.com</t>
  </si>
  <si>
    <t>kcliffo12@gmail.com</t>
  </si>
  <si>
    <t>jaredgigli@gmail.com</t>
  </si>
  <si>
    <t>justyncalestini@gmail.com</t>
  </si>
  <si>
    <t>madisonmharris92@gmail.com</t>
  </si>
  <si>
    <t>brinckwirthj30@gmail.com</t>
  </si>
  <si>
    <t>jafreedman3@gmail.com</t>
  </si>
  <si>
    <t>lynettewallace2001@gmail.com</t>
  </si>
  <si>
    <t>david.j.jopp@gmail.com</t>
  </si>
  <si>
    <t>wschooley1129@gmail.com</t>
  </si>
  <si>
    <t>auston46@gmail.com</t>
  </si>
  <si>
    <t>andrewrosenbaum93@gmail.com</t>
  </si>
  <si>
    <t>provostim@gmail.com</t>
  </si>
  <si>
    <t>michaelhoff3@gmail.com</t>
  </si>
  <si>
    <t>michael@misterfrenchespresso.com</t>
  </si>
  <si>
    <t>bino1@comcast.net</t>
  </si>
  <si>
    <t>dmaentz25@gmail.com</t>
  </si>
  <si>
    <t>dreyfuss.justin@gmail.com</t>
  </si>
  <si>
    <t>bennettj86@gmail.com</t>
  </si>
  <si>
    <t>karenhoke@icloud.com</t>
  </si>
  <si>
    <t>morris.evanp@gmail.com</t>
  </si>
  <si>
    <t>danmilberg@gmail.com</t>
  </si>
  <si>
    <t>mmcasco@prodigy.net</t>
  </si>
  <si>
    <t>gjmavrelis@gmail.com</t>
  </si>
  <si>
    <t>Seed</t>
  </si>
  <si>
    <t>Team</t>
  </si>
  <si>
    <t>Points Per Win</t>
  </si>
  <si>
    <t>Wins</t>
  </si>
  <si>
    <t>Still in</t>
  </si>
  <si>
    <t>Column 1</t>
  </si>
  <si>
    <t xml:space="preserve"> </t>
  </si>
  <si>
    <t>Timestamp</t>
  </si>
  <si>
    <t>#1 Seed (100 pts per win)</t>
  </si>
  <si>
    <t>#2 Seed (110 pts per win)</t>
  </si>
  <si>
    <t>#3 Seed (120 pts per win)</t>
  </si>
  <si>
    <t>#4 Seed (130 pts per win)</t>
  </si>
  <si>
    <t>#5 Seed (140 pts per win)</t>
  </si>
  <si>
    <t>#6 Seed (150 pts per win)</t>
  </si>
  <si>
    <t>#7 Seed (160  pts per win)</t>
  </si>
  <si>
    <t>#8 Seed (170 pts per win)</t>
  </si>
  <si>
    <t>#9 Seed (180 pts per win)</t>
  </si>
  <si>
    <t>#10 Seed (190 pts per win)</t>
  </si>
  <si>
    <t>#11 Seed (200 pts per win)</t>
  </si>
  <si>
    <t>#12 Seed (210 pts per win)</t>
  </si>
  <si>
    <t>#13 Seed (220 pts per win)</t>
  </si>
  <si>
    <t>#14 Seed (230 pts per win)</t>
  </si>
  <si>
    <t>#15 Seed (240 pts per win)</t>
  </si>
  <si>
    <t>#16 Seed (250 pts per win)</t>
  </si>
  <si>
    <t>How are you paying? ($20)</t>
  </si>
  <si>
    <t>I have sent my $20  payment</t>
  </si>
  <si>
    <t>Yes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</si>
</sst>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1" numFmtId="0" xfId="0" applyAlignment="1" applyFont="1">
      <alignment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0" xfId="0" applyAlignment="1" applyFont="1">
      <alignment shrinkToFit="0" vertical="center" wrapText="0"/>
    </xf>
    <xf borderId="0" fillId="0" fontId="1" numFmtId="164" xfId="0" applyFont="1" applyNumberFormat="1"/>
    <xf borderId="0" fillId="0" fontId="1" numFmtId="2" xfId="0" applyFont="1" applyNumberFormat="1"/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3">
    <tableStyle count="4" pivot="0" name="Live Standin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eam Hub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w Data-style">
      <tableStyleElement dxfId="5" type="headerRow"/>
      <tableStyleElement dxfId="2" type="firstRowStripe"/>
      <tableStyleElement dxfId="6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Z132" displayName="Live_Standings" name="Live_Standings" id="1">
  <autoFilter ref="$A$1:$AZ$132"/>
  <tableColumns count="52">
    <tableColumn name="Email Address" id="1"/>
    <tableColumn name="Total Points" id="2"/>
    <tableColumn name="Teams Remaining" id="3"/>
    <tableColumn name="1 Seed" id="4"/>
    <tableColumn name="Pts1" id="5"/>
    <tableColumn name="In1" id="6"/>
    <tableColumn name="2 Seed" id="7"/>
    <tableColumn name="Pts2" id="8"/>
    <tableColumn name="In2" id="9"/>
    <tableColumn name="3 Seed" id="10"/>
    <tableColumn name="Pts3" id="11"/>
    <tableColumn name="In3" id="12"/>
    <tableColumn name="4 Seed" id="13"/>
    <tableColumn name="Pts4" id="14"/>
    <tableColumn name="In4" id="15"/>
    <tableColumn name="5 Seed" id="16"/>
    <tableColumn name="Pts5" id="17"/>
    <tableColumn name="In5" id="18"/>
    <tableColumn name="6 Seed" id="19"/>
    <tableColumn name="Pts6" id="20"/>
    <tableColumn name="In6" id="21"/>
    <tableColumn name="7 Seed" id="22"/>
    <tableColumn name="Pts7" id="23"/>
    <tableColumn name="In7" id="24"/>
    <tableColumn name="8 Seed" id="25"/>
    <tableColumn name="Pts8" id="26"/>
    <tableColumn name="In8" id="27"/>
    <tableColumn name="9 Seed" id="28"/>
    <tableColumn name="Pts9" id="29"/>
    <tableColumn name="In9" id="30"/>
    <tableColumn name="10 Seed" id="31"/>
    <tableColumn name="Pts10" id="32"/>
    <tableColumn name="In10" id="33"/>
    <tableColumn name="11 Seed" id="34"/>
    <tableColumn name="Pts11" id="35"/>
    <tableColumn name="In11" id="36"/>
    <tableColumn name="12 Seed" id="37"/>
    <tableColumn name="Pts12" id="38"/>
    <tableColumn name="In12" id="39"/>
    <tableColumn name="13 Seed" id="40"/>
    <tableColumn name="Pts13" id="41"/>
    <tableColumn name="In13" id="42"/>
    <tableColumn name="14 Seed" id="43"/>
    <tableColumn name="Pts14" id="44"/>
    <tableColumn name="In14" id="45"/>
    <tableColumn name="15 Seed" id="46"/>
    <tableColumn name="Pts15" id="47"/>
    <tableColumn name="In15" id="48"/>
    <tableColumn name="16 Seed" id="49"/>
    <tableColumn name="Pts16" id="50"/>
    <tableColumn name="In16" id="51"/>
    <tableColumn name="Payment" id="52"/>
  </tableColumns>
  <tableStyleInfo name="Live Standings-style" showColumnStripes="0" showFirstColumn="1" showLastColumn="1" showRowStripes="1"/>
</table>
</file>

<file path=xl/tables/table2.xml><?xml version="1.0" encoding="utf-8"?>
<table xmlns="http://schemas.openxmlformats.org/spreadsheetml/2006/main" ref="A1:G66" displayName="Team_Hub" name="Team_Hub" id="2">
  <tableColumns count="7">
    <tableColumn name="Seed" id="1"/>
    <tableColumn name="Team" id="2"/>
    <tableColumn name="Points Per Win" id="3"/>
    <tableColumn name="Wins" id="4"/>
    <tableColumn name="Total Points" id="5"/>
    <tableColumn name="Still in" id="6"/>
    <tableColumn name="Column 1" id="7"/>
  </tableColumns>
  <tableStyleInfo name="Team Hub-style" showColumnStripes="0" showFirstColumn="1" showLastColumn="1" showRowStripes="1"/>
</table>
</file>

<file path=xl/tables/table3.xml><?xml version="1.0" encoding="utf-8"?>
<table xmlns="http://schemas.openxmlformats.org/spreadsheetml/2006/main" ref="A1:T134" displayName="Form_Responses1" name="Form_Responses1" id="3">
  <tableColumns count="20">
    <tableColumn name="Timestamp" id="1"/>
    <tableColumn name="Email Address" id="2"/>
    <tableColumn name="#1 Seed (100 pts per win)" id="3"/>
    <tableColumn name="#2 Seed (110 pts per win)" id="4"/>
    <tableColumn name="#3 Seed (120 pts per win)" id="5"/>
    <tableColumn name="#4 Seed (130 pts per win)" id="6"/>
    <tableColumn name="#5 Seed (140 pts per win)" id="7"/>
    <tableColumn name="#6 Seed (150 pts per win)" id="8"/>
    <tableColumn name="#7 Seed (160  pts per win)" id="9"/>
    <tableColumn name="#8 Seed (170 pts per win)" id="10"/>
    <tableColumn name="#9 Seed (180 pts per win)" id="11"/>
    <tableColumn name="#10 Seed (190 pts per win)" id="12"/>
    <tableColumn name="#11 Seed (200 pts per win)" id="13"/>
    <tableColumn name="#12 Seed (210 pts per win)" id="14"/>
    <tableColumn name="#13 Seed (220 pts per win)" id="15"/>
    <tableColumn name="#14 Seed (230 pts per win)" id="16"/>
    <tableColumn name="#15 Seed (240 pts per win)" id="17"/>
    <tableColumn name="#16 Seed (250 pts per win)" id="18"/>
    <tableColumn name="How are you paying? ($20)" id="19"/>
    <tableColumn name="I have sent my $20  payment" id="20"/>
  </tableColumns>
  <tableStyleInfo name="Raw Da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9.63"/>
    <col customWidth="1" min="2" max="2" width="14.5"/>
    <col customWidth="1" min="3" max="3" width="19.0"/>
    <col customWidth="1" min="4" max="4" width="10.63"/>
    <col customWidth="1" min="5" max="5" width="5.0"/>
    <col customWidth="1" hidden="1" min="6" max="6" width="3.13"/>
    <col customWidth="1" min="7" max="7" width="13.38"/>
    <col customWidth="1" min="8" max="8" width="3.38"/>
    <col customWidth="1" hidden="1" min="9" max="9" width="3.13"/>
    <col customWidth="1" min="10" max="10" width="10.63"/>
    <col customWidth="1" min="11" max="11" width="3.38"/>
    <col customWidth="1" hidden="1" min="12" max="12" width="3.13"/>
    <col customWidth="1" min="13" max="13" width="10.63"/>
    <col customWidth="1" min="14" max="14" width="3.38"/>
    <col customWidth="1" hidden="1" min="15" max="15" width="3.13"/>
    <col customWidth="1" min="16" max="16" width="10.63"/>
    <col customWidth="1" min="17" max="17" width="3.38"/>
    <col customWidth="1" hidden="1" min="18" max="18" width="3.13"/>
    <col customWidth="1" min="19" max="19" width="10.63"/>
    <col customWidth="1" min="20" max="20" width="3.38"/>
    <col customWidth="1" hidden="1" min="21" max="21" width="3.13"/>
    <col customWidth="1" min="22" max="22" width="11.25"/>
    <col customWidth="1" min="23" max="23" width="3.38"/>
    <col customWidth="1" hidden="1" min="24" max="24" width="3.13"/>
    <col customWidth="1" min="25" max="25" width="14.88"/>
    <col customWidth="1" min="26" max="26" width="3.38"/>
    <col customWidth="1" hidden="1" min="27" max="27" width="3.13"/>
    <col customWidth="1" min="28" max="28" width="10.63"/>
    <col customWidth="1" min="29" max="29" width="3.38"/>
    <col customWidth="1" hidden="1" min="30" max="30" width="3.13"/>
    <col customWidth="1" min="31" max="31" width="11.63"/>
    <col customWidth="1" min="32" max="32" width="3.38"/>
    <col customWidth="1" hidden="1" min="33" max="33" width="3.13"/>
    <col customWidth="1" min="34" max="34" width="18.88"/>
    <col customWidth="1" min="35" max="35" width="3.38"/>
    <col customWidth="1" hidden="1" min="36" max="36" width="3.13"/>
    <col customWidth="1" min="37" max="37" width="13.25"/>
    <col customWidth="1" min="38" max="38" width="3.38"/>
    <col customWidth="1" hidden="1" min="39" max="39" width="3.13"/>
    <col customWidth="1" min="40" max="40" width="11.88"/>
    <col customWidth="1" min="41" max="41" width="3.38"/>
    <col customWidth="1" hidden="1" min="42" max="42" width="3.13"/>
    <col customWidth="1" min="43" max="43" width="14.38"/>
    <col customWidth="1" min="44" max="44" width="3.38"/>
    <col customWidth="1" hidden="1" min="45" max="45" width="3.13"/>
    <col customWidth="1" min="46" max="46" width="12.38"/>
    <col customWidth="1" min="47" max="47" width="3.38"/>
    <col customWidth="1" hidden="1" min="48" max="48" width="3.13"/>
    <col customWidth="1" min="49" max="49" width="22.88"/>
    <col customWidth="1" min="50" max="50" width="3.38"/>
    <col customWidth="1" hidden="1" min="51" max="51" width="3.13"/>
    <col customWidth="1" min="52" max="52" width="33.0"/>
  </cols>
  <sheetData>
    <row r="1" ht="22.5" customHeight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</row>
    <row r="2" ht="22.5" customHeight="1">
      <c r="A2" s="4" t="s">
        <v>52</v>
      </c>
      <c r="B2" s="2">
        <f t="shared" ref="B2:C2" si="1">sum(E2+H2+K2+N2+Q2+T2+W2+Z2+AC2+AF2+AI2+AL2+AO2+AR2+AU2+AX2)</f>
        <v>3030</v>
      </c>
      <c r="C2" s="2">
        <f t="shared" si="1"/>
        <v>0</v>
      </c>
      <c r="D2" s="5" t="s">
        <v>53</v>
      </c>
      <c r="E2" s="5">
        <f>VLOOKUP(D2,'Team Hub'!$B$1:$F$65,4,false)</f>
        <v>400</v>
      </c>
      <c r="F2" s="4" t="str">
        <f>VLOOKUP(D2,'Team Hub'!$B$1:$F$65,5,false)</f>
        <v/>
      </c>
      <c r="G2" s="5" t="s">
        <v>54</v>
      </c>
      <c r="H2" s="5">
        <f>VLOOKUP(G2,'Team Hub'!$B$1:$F$65,4,false)</f>
        <v>330</v>
      </c>
      <c r="I2" s="4" t="str">
        <f>VLOOKUP(G2,'Team Hub'!$B$1:$F$65,5,false)</f>
        <v/>
      </c>
      <c r="J2" s="5" t="s">
        <v>55</v>
      </c>
      <c r="K2" s="5">
        <f>VLOOKUP(J2,'Team Hub'!$B$1:$F$65,4,false)</f>
        <v>360</v>
      </c>
      <c r="L2" s="4" t="str">
        <f>VLOOKUP(J2,'Team Hub'!$B$1:$F$65,5,false)</f>
        <v/>
      </c>
      <c r="M2" s="5" t="s">
        <v>56</v>
      </c>
      <c r="N2" s="5">
        <f>VLOOKUP(M2,'Team Hub'!$B$1:$F$65,4,false)</f>
        <v>260</v>
      </c>
      <c r="O2" s="5" t="str">
        <f>VLOOKUP(M2,'Team Hub'!$B$1:$F$65,5,false)</f>
        <v/>
      </c>
      <c r="P2" s="5" t="s">
        <v>57</v>
      </c>
      <c r="Q2" s="5">
        <f>VLOOKUP(P2,'Team Hub'!$B$1:$F$65,4,false)</f>
        <v>280</v>
      </c>
      <c r="R2" s="5" t="str">
        <f>VLOOKUP(P2,'Team Hub'!$B$1:$F$65,5,false)</f>
        <v/>
      </c>
      <c r="S2" s="5" t="s">
        <v>58</v>
      </c>
      <c r="T2" s="5">
        <f>VLOOKUP(S2,'Team Hub'!$B$1:$F$65,4,false)</f>
        <v>300</v>
      </c>
      <c r="U2" s="5" t="str">
        <f>VLOOKUP(S2,'Team Hub'!$B$1:$F$65,5,false)</f>
        <v/>
      </c>
      <c r="V2" s="5" t="s">
        <v>59</v>
      </c>
      <c r="W2" s="5">
        <f>VLOOKUP(V2,'Team Hub'!$B$1:$F$65,4,false)</f>
        <v>160</v>
      </c>
      <c r="X2" s="5" t="str">
        <f>VLOOKUP(V2,'Team Hub'!$B$1:$F$65,5,false)</f>
        <v/>
      </c>
      <c r="Y2" s="5" t="s">
        <v>60</v>
      </c>
      <c r="Z2" s="5">
        <f>VLOOKUP(Y2,'Team Hub'!$B$1:$F$65,4,false)</f>
        <v>170</v>
      </c>
      <c r="AA2" s="4" t="str">
        <f>VLOOKUP(Y2,'Team Hub'!$B$1:$F$65,5,false)</f>
        <v/>
      </c>
      <c r="AB2" s="5" t="s">
        <v>61</v>
      </c>
      <c r="AC2" s="5">
        <f>VLOOKUP(AB2,'Team Hub'!$B$1:$F$65,4,false)</f>
        <v>180</v>
      </c>
      <c r="AD2" s="4" t="str">
        <f>VLOOKUP(AB2,'Team Hub'!$B$1:$F$65,5,false)</f>
        <v/>
      </c>
      <c r="AE2" s="5" t="s">
        <v>62</v>
      </c>
      <c r="AF2" s="5">
        <f>VLOOKUP(AE2,'Team Hub'!$B$1:$F$65,4,false)</f>
        <v>380</v>
      </c>
      <c r="AG2" s="4" t="str">
        <f>VLOOKUP(AE2,'Team Hub'!$B$1:$F$65,5,false)</f>
        <v/>
      </c>
      <c r="AH2" s="5" t="s">
        <v>63</v>
      </c>
      <c r="AI2" s="5">
        <f>VLOOKUP(AH2,'Team Hub'!$B$1:$F$65,4,false)</f>
        <v>0</v>
      </c>
      <c r="AJ2" s="4" t="str">
        <f>VLOOKUP(AH2,'Team Hub'!$B$1:$F$65,5,false)</f>
        <v/>
      </c>
      <c r="AK2" s="5" t="s">
        <v>64</v>
      </c>
      <c r="AL2" s="5">
        <f>VLOOKUP(AK2,'Team Hub'!$B$1:$F$65,4,false)</f>
        <v>210</v>
      </c>
      <c r="AM2" s="4" t="str">
        <f>VLOOKUP(AK2,'Team Hub'!$B$1:$F$65,5,false)</f>
        <v/>
      </c>
      <c r="AN2" s="5" t="s">
        <v>65</v>
      </c>
      <c r="AO2" s="5">
        <f>VLOOKUP(AN2,'Team Hub'!$B$1:$F$65,4,false)</f>
        <v>0</v>
      </c>
      <c r="AP2" s="4" t="str">
        <f>VLOOKUP(AN2,'Team Hub'!$B$1:$F$65,5,false)</f>
        <v/>
      </c>
      <c r="AQ2" s="5" t="s">
        <v>66</v>
      </c>
      <c r="AR2" s="5">
        <f>VLOOKUP(AQ2,'Team Hub'!$B$1:$F$65,4,false)</f>
        <v>0</v>
      </c>
      <c r="AS2" s="4" t="str">
        <f>VLOOKUP(AQ2,'Team Hub'!$B$1:$F$65,5,false)</f>
        <v/>
      </c>
      <c r="AT2" s="5" t="s">
        <v>67</v>
      </c>
      <c r="AU2" s="5">
        <f>VLOOKUP(AT2,'Team Hub'!$B$1:$F$65,4,false)</f>
        <v>0</v>
      </c>
      <c r="AV2" s="4" t="str">
        <f>VLOOKUP(AT2,'Team Hub'!$B$1:$F$65,5,false)</f>
        <v/>
      </c>
      <c r="AW2" s="5" t="s">
        <v>68</v>
      </c>
      <c r="AX2" s="5">
        <f>VLOOKUP(AW2,'Team Hub'!$B$1:$F$65,4,false)</f>
        <v>0</v>
      </c>
      <c r="AY2" s="4" t="str">
        <f>VLOOKUP(AW2,'Team Hub'!$B$1:$F$65,5,false)</f>
        <v/>
      </c>
      <c r="AZ2" s="4" t="s">
        <v>69</v>
      </c>
    </row>
    <row r="3" ht="22.5" customHeight="1">
      <c r="A3" s="4" t="s">
        <v>70</v>
      </c>
      <c r="B3" s="2">
        <f t="shared" ref="B3:C3" si="2">sum(E3+H3+K3+N3+Q3+T3+W3+Z3+AC3+AF3+AI3+AL3+AO3+AR3+AU3+AX3)</f>
        <v>2950</v>
      </c>
      <c r="C3" s="2">
        <f t="shared" si="2"/>
        <v>1</v>
      </c>
      <c r="D3" s="4" t="s">
        <v>71</v>
      </c>
      <c r="E3" s="4">
        <f>VLOOKUP(D3,'Team Hub'!$B$1:$F$65,4,false)</f>
        <v>600</v>
      </c>
      <c r="F3" s="4">
        <f>VLOOKUP(D3,'Team Hub'!$B$1:$F$65,5,false)</f>
        <v>1</v>
      </c>
      <c r="G3" s="5" t="s">
        <v>72</v>
      </c>
      <c r="H3" s="5">
        <f>VLOOKUP(G3,'Team Hub'!$B$1:$F$65,4,false)</f>
        <v>330</v>
      </c>
      <c r="I3" s="5" t="str">
        <f>VLOOKUP(G3,'Team Hub'!$B$1:$F$65,5,false)</f>
        <v/>
      </c>
      <c r="J3" s="5" t="s">
        <v>73</v>
      </c>
      <c r="K3" s="5">
        <f>VLOOKUP(J3,'Team Hub'!$B$1:$F$65,4,false)</f>
        <v>240</v>
      </c>
      <c r="L3" s="4" t="str">
        <f>VLOOKUP(J3,'Team Hub'!$B$1:$F$65,5,false)</f>
        <v/>
      </c>
      <c r="M3" s="5" t="s">
        <v>74</v>
      </c>
      <c r="N3" s="5">
        <f>VLOOKUP(M3,'Team Hub'!$B$1:$F$65,4,false)</f>
        <v>260</v>
      </c>
      <c r="O3" s="5" t="str">
        <f>VLOOKUP(M3,'Team Hub'!$B$1:$F$65,5,false)</f>
        <v/>
      </c>
      <c r="P3" s="5" t="s">
        <v>57</v>
      </c>
      <c r="Q3" s="5">
        <f>VLOOKUP(P3,'Team Hub'!$B$1:$F$65,4,false)</f>
        <v>280</v>
      </c>
      <c r="R3" s="5" t="str">
        <f>VLOOKUP(P3,'Team Hub'!$B$1:$F$65,5,false)</f>
        <v/>
      </c>
      <c r="S3" s="5" t="s">
        <v>58</v>
      </c>
      <c r="T3" s="5">
        <f>VLOOKUP(S3,'Team Hub'!$B$1:$F$65,4,false)</f>
        <v>300</v>
      </c>
      <c r="U3" s="5" t="str">
        <f>VLOOKUP(S3,'Team Hub'!$B$1:$F$65,5,false)</f>
        <v/>
      </c>
      <c r="V3" s="5" t="s">
        <v>75</v>
      </c>
      <c r="W3" s="5">
        <f>VLOOKUP(V3,'Team Hub'!$B$1:$F$65,4,false)</f>
        <v>0</v>
      </c>
      <c r="X3" s="5" t="str">
        <f>VLOOKUP(V3,'Team Hub'!$B$1:$F$65,5,false)</f>
        <v/>
      </c>
      <c r="Y3" s="5" t="s">
        <v>76</v>
      </c>
      <c r="Z3" s="5">
        <f>VLOOKUP(Y3,'Team Hub'!$B$1:$F$65,4,false)</f>
        <v>170</v>
      </c>
      <c r="AA3" s="4" t="str">
        <f>VLOOKUP(Y3,'Team Hub'!$B$1:$F$65,5,false)</f>
        <v/>
      </c>
      <c r="AB3" s="5" t="s">
        <v>61</v>
      </c>
      <c r="AC3" s="5">
        <f>VLOOKUP(AB3,'Team Hub'!$B$1:$F$65,4,false)</f>
        <v>180</v>
      </c>
      <c r="AD3" s="4" t="str">
        <f>VLOOKUP(AB3,'Team Hub'!$B$1:$F$65,5,false)</f>
        <v/>
      </c>
      <c r="AE3" s="5" t="s">
        <v>62</v>
      </c>
      <c r="AF3" s="5">
        <f>VLOOKUP(AE3,'Team Hub'!$B$1:$F$65,4,false)</f>
        <v>380</v>
      </c>
      <c r="AG3" s="4" t="str">
        <f>VLOOKUP(AE3,'Team Hub'!$B$1:$F$65,5,false)</f>
        <v/>
      </c>
      <c r="AH3" s="5" t="s">
        <v>63</v>
      </c>
      <c r="AI3" s="5">
        <f>VLOOKUP(AH3,'Team Hub'!$B$1:$F$65,4,false)</f>
        <v>0</v>
      </c>
      <c r="AJ3" s="4" t="str">
        <f>VLOOKUP(AH3,'Team Hub'!$B$1:$F$65,5,false)</f>
        <v/>
      </c>
      <c r="AK3" s="5" t="s">
        <v>64</v>
      </c>
      <c r="AL3" s="5">
        <f>VLOOKUP(AK3,'Team Hub'!$B$1:$F$65,4,false)</f>
        <v>210</v>
      </c>
      <c r="AM3" s="4" t="str">
        <f>VLOOKUP(AK3,'Team Hub'!$B$1:$F$65,5,false)</f>
        <v/>
      </c>
      <c r="AN3" s="5" t="s">
        <v>77</v>
      </c>
      <c r="AO3" s="5">
        <f>VLOOKUP(AN3,'Team Hub'!$B$1:$F$65,4,false)</f>
        <v>0</v>
      </c>
      <c r="AP3" s="4" t="str">
        <f>VLOOKUP(AN3,'Team Hub'!$B$1:$F$65,5,false)</f>
        <v/>
      </c>
      <c r="AQ3" s="5" t="s">
        <v>78</v>
      </c>
      <c r="AR3" s="5">
        <f>VLOOKUP(AQ3,'Team Hub'!$B$1:$F$65,4,false)</f>
        <v>0</v>
      </c>
      <c r="AS3" s="4" t="str">
        <f>VLOOKUP(AQ3,'Team Hub'!$B$1:$F$65,5,false)</f>
        <v/>
      </c>
      <c r="AT3" s="5" t="s">
        <v>79</v>
      </c>
      <c r="AU3" s="5">
        <f>VLOOKUP(AT3,'Team Hub'!$B$1:$F$65,4,false)</f>
        <v>0</v>
      </c>
      <c r="AV3" s="4" t="str">
        <f>VLOOKUP(AT3,'Team Hub'!$B$1:$F$65,5,false)</f>
        <v/>
      </c>
      <c r="AW3" s="5" t="s">
        <v>68</v>
      </c>
      <c r="AX3" s="5">
        <f>VLOOKUP(AW3,'Team Hub'!$B$1:$F$65,4,false)</f>
        <v>0</v>
      </c>
      <c r="AY3" s="4" t="str">
        <f>VLOOKUP(AW3,'Team Hub'!$B$1:$F$65,5,false)</f>
        <v/>
      </c>
      <c r="AZ3" s="4" t="s">
        <v>69</v>
      </c>
    </row>
    <row r="4" ht="22.5" customHeight="1">
      <c r="A4" s="4" t="s">
        <v>80</v>
      </c>
      <c r="B4" s="2">
        <f t="shared" ref="B4:C4" si="3">sum(E4+H4+K4+N4+Q4+T4+W4+Z4+AC4+AF4+AI4+AL4+AO4+AR4+AU4+AX4)</f>
        <v>2900</v>
      </c>
      <c r="C4" s="2">
        <f t="shared" si="3"/>
        <v>1</v>
      </c>
      <c r="D4" s="4" t="s">
        <v>71</v>
      </c>
      <c r="E4" s="4">
        <f>VLOOKUP(D4,'Team Hub'!$B$1:$F$65,4,false)</f>
        <v>600</v>
      </c>
      <c r="F4" s="4">
        <f>VLOOKUP(D4,'Team Hub'!$B$1:$F$65,5,false)</f>
        <v>1</v>
      </c>
      <c r="G4" s="5" t="s">
        <v>81</v>
      </c>
      <c r="H4" s="5">
        <f>VLOOKUP(G4,'Team Hub'!$B$1:$F$65,4,false)</f>
        <v>330</v>
      </c>
      <c r="I4" s="4" t="str">
        <f>VLOOKUP(G4,'Team Hub'!$B$1:$F$65,5,false)</f>
        <v/>
      </c>
      <c r="J4" s="5" t="s">
        <v>55</v>
      </c>
      <c r="K4" s="5">
        <f>VLOOKUP(J4,'Team Hub'!$B$1:$F$65,4,false)</f>
        <v>360</v>
      </c>
      <c r="L4" s="4" t="str">
        <f>VLOOKUP(J4,'Team Hub'!$B$1:$F$65,5,false)</f>
        <v/>
      </c>
      <c r="M4" s="5" t="s">
        <v>56</v>
      </c>
      <c r="N4" s="5">
        <f>VLOOKUP(M4,'Team Hub'!$B$1:$F$65,4,false)</f>
        <v>260</v>
      </c>
      <c r="O4" s="5" t="str">
        <f>VLOOKUP(M4,'Team Hub'!$B$1:$F$65,5,false)</f>
        <v/>
      </c>
      <c r="P4" s="5" t="s">
        <v>57</v>
      </c>
      <c r="Q4" s="5">
        <f>VLOOKUP(P4,'Team Hub'!$B$1:$F$65,4,false)</f>
        <v>280</v>
      </c>
      <c r="R4" s="5" t="str">
        <f>VLOOKUP(P4,'Team Hub'!$B$1:$F$65,5,false)</f>
        <v/>
      </c>
      <c r="S4" s="5" t="s">
        <v>82</v>
      </c>
      <c r="T4" s="5">
        <f>VLOOKUP(S4,'Team Hub'!$B$1:$F$65,4,false)</f>
        <v>300</v>
      </c>
      <c r="U4" s="5" t="str">
        <f>VLOOKUP(S4,'Team Hub'!$B$1:$F$65,5,false)</f>
        <v/>
      </c>
      <c r="V4" s="5" t="s">
        <v>83</v>
      </c>
      <c r="W4" s="5">
        <f>VLOOKUP(V4,'Team Hub'!$B$1:$F$65,4,false)</f>
        <v>0</v>
      </c>
      <c r="X4" s="5" t="str">
        <f>VLOOKUP(V4,'Team Hub'!$B$1:$F$65,5,false)</f>
        <v/>
      </c>
      <c r="Y4" s="5" t="s">
        <v>76</v>
      </c>
      <c r="Z4" s="5">
        <f>VLOOKUP(Y4,'Team Hub'!$B$1:$F$65,4,false)</f>
        <v>170</v>
      </c>
      <c r="AA4" s="4" t="str">
        <f>VLOOKUP(Y4,'Team Hub'!$B$1:$F$65,5,false)</f>
        <v/>
      </c>
      <c r="AB4" s="5" t="s">
        <v>84</v>
      </c>
      <c r="AC4" s="5">
        <f>VLOOKUP(AB4,'Team Hub'!$B$1:$F$65,4,false)</f>
        <v>0</v>
      </c>
      <c r="AD4" s="4" t="str">
        <f>VLOOKUP(AB4,'Team Hub'!$B$1:$F$65,5,false)</f>
        <v/>
      </c>
      <c r="AE4" s="5" t="s">
        <v>85</v>
      </c>
      <c r="AF4" s="5">
        <f>VLOOKUP(AE4,'Team Hub'!$B$1:$F$65,4,false)</f>
        <v>190</v>
      </c>
      <c r="AG4" s="4" t="str">
        <f>VLOOKUP(AE4,'Team Hub'!$B$1:$F$65,5,false)</f>
        <v/>
      </c>
      <c r="AH4" s="5" t="s">
        <v>86</v>
      </c>
      <c r="AI4" s="5">
        <f>VLOOKUP(AH4,'Team Hub'!$B$1:$F$65,4,false)</f>
        <v>200</v>
      </c>
      <c r="AJ4" s="4" t="str">
        <f>VLOOKUP(AH4,'Team Hub'!$B$1:$F$65,5,false)</f>
        <v/>
      </c>
      <c r="AK4" s="5" t="s">
        <v>87</v>
      </c>
      <c r="AL4" s="5">
        <f>VLOOKUP(AK4,'Team Hub'!$B$1:$F$65,4,false)</f>
        <v>210</v>
      </c>
      <c r="AM4" s="4" t="str">
        <f>VLOOKUP(AK4,'Team Hub'!$B$1:$F$65,5,false)</f>
        <v/>
      </c>
      <c r="AN4" s="5" t="s">
        <v>88</v>
      </c>
      <c r="AO4" s="5">
        <f>VLOOKUP(AN4,'Team Hub'!$B$1:$F$65,4,false)</f>
        <v>0</v>
      </c>
      <c r="AP4" s="4" t="str">
        <f>VLOOKUP(AN4,'Team Hub'!$B$1:$F$65,5,false)</f>
        <v/>
      </c>
      <c r="AQ4" s="5" t="s">
        <v>89</v>
      </c>
      <c r="AR4" s="5">
        <f>VLOOKUP(AQ4,'Team Hub'!$B$1:$F$65,4,false)</f>
        <v>0</v>
      </c>
      <c r="AS4" s="4" t="str">
        <f>VLOOKUP(AQ4,'Team Hub'!$B$1:$F$65,5,false)</f>
        <v/>
      </c>
      <c r="AT4" s="5" t="s">
        <v>79</v>
      </c>
      <c r="AU4" s="5">
        <f>VLOOKUP(AT4,'Team Hub'!$B$1:$F$65,4,false)</f>
        <v>0</v>
      </c>
      <c r="AV4" s="4" t="str">
        <f>VLOOKUP(AT4,'Team Hub'!$B$1:$F$65,5,false)</f>
        <v/>
      </c>
      <c r="AW4" s="5" t="s">
        <v>68</v>
      </c>
      <c r="AX4" s="5">
        <f>VLOOKUP(AW4,'Team Hub'!$B$1:$F$65,4,false)</f>
        <v>0</v>
      </c>
      <c r="AY4" s="4" t="str">
        <f>VLOOKUP(AW4,'Team Hub'!$B$1:$F$65,5,false)</f>
        <v/>
      </c>
      <c r="AZ4" s="4" t="s">
        <v>69</v>
      </c>
    </row>
    <row r="5" ht="22.5" customHeight="1">
      <c r="A5" s="4" t="s">
        <v>90</v>
      </c>
      <c r="B5" s="2">
        <f t="shared" ref="B5:C5" si="4">sum(E5+H5+K5+N5+Q5+T5+W5+Z5+AC5+AF5+AI5+AL5+AO5+AR5+AU5+AX5)</f>
        <v>2890</v>
      </c>
      <c r="C5" s="2">
        <f t="shared" si="4"/>
        <v>0</v>
      </c>
      <c r="D5" s="5" t="s">
        <v>91</v>
      </c>
      <c r="E5" s="5">
        <f>VLOOKUP(D5,'Team Hub'!$B$1:$F$65,4,false)</f>
        <v>400</v>
      </c>
      <c r="F5" s="4" t="str">
        <f>VLOOKUP(D5,'Team Hub'!$B$1:$F$65,5,false)</f>
        <v/>
      </c>
      <c r="G5" s="5" t="s">
        <v>54</v>
      </c>
      <c r="H5" s="5">
        <f>VLOOKUP(G5,'Team Hub'!$B$1:$F$65,4,false)</f>
        <v>330</v>
      </c>
      <c r="I5" s="4" t="str">
        <f>VLOOKUP(G5,'Team Hub'!$B$1:$F$65,5,false)</f>
        <v/>
      </c>
      <c r="J5" s="5" t="s">
        <v>55</v>
      </c>
      <c r="K5" s="5">
        <f>VLOOKUP(J5,'Team Hub'!$B$1:$F$65,4,false)</f>
        <v>360</v>
      </c>
      <c r="L5" s="4" t="str">
        <f>VLOOKUP(J5,'Team Hub'!$B$1:$F$65,5,false)</f>
        <v/>
      </c>
      <c r="M5" s="5" t="s">
        <v>56</v>
      </c>
      <c r="N5" s="5">
        <f>VLOOKUP(M5,'Team Hub'!$B$1:$F$65,4,false)</f>
        <v>260</v>
      </c>
      <c r="O5" s="5" t="str">
        <f>VLOOKUP(M5,'Team Hub'!$B$1:$F$65,5,false)</f>
        <v/>
      </c>
      <c r="P5" s="5" t="s">
        <v>57</v>
      </c>
      <c r="Q5" s="5">
        <f>VLOOKUP(P5,'Team Hub'!$B$1:$F$65,4,false)</f>
        <v>280</v>
      </c>
      <c r="R5" s="5" t="str">
        <f>VLOOKUP(P5,'Team Hub'!$B$1:$F$65,5,false)</f>
        <v/>
      </c>
      <c r="S5" s="5" t="s">
        <v>92</v>
      </c>
      <c r="T5" s="5">
        <f>VLOOKUP(S5,'Team Hub'!$B$1:$F$65,4,false)</f>
        <v>150</v>
      </c>
      <c r="U5" s="5" t="str">
        <f>VLOOKUP(S5,'Team Hub'!$B$1:$F$65,5,false)</f>
        <v/>
      </c>
      <c r="V5" s="5" t="s">
        <v>93</v>
      </c>
      <c r="W5" s="5">
        <f>VLOOKUP(V5,'Team Hub'!$B$1:$F$65,4,false)</f>
        <v>160</v>
      </c>
      <c r="X5" s="5" t="str">
        <f>VLOOKUP(V5,'Team Hub'!$B$1:$F$65,5,false)</f>
        <v/>
      </c>
      <c r="Y5" s="5" t="s">
        <v>60</v>
      </c>
      <c r="Z5" s="5">
        <f>VLOOKUP(Y5,'Team Hub'!$B$1:$F$65,4,false)</f>
        <v>170</v>
      </c>
      <c r="AA5" s="4" t="str">
        <f>VLOOKUP(Y5,'Team Hub'!$B$1:$F$65,5,false)</f>
        <v/>
      </c>
      <c r="AB5" s="5" t="s">
        <v>94</v>
      </c>
      <c r="AC5" s="5">
        <f>VLOOKUP(AB5,'Team Hub'!$B$1:$F$65,4,false)</f>
        <v>180</v>
      </c>
      <c r="AD5" s="4" t="str">
        <f>VLOOKUP(AB5,'Team Hub'!$B$1:$F$65,5,false)</f>
        <v/>
      </c>
      <c r="AE5" s="5" t="s">
        <v>85</v>
      </c>
      <c r="AF5" s="5">
        <f>VLOOKUP(AE5,'Team Hub'!$B$1:$F$65,4,false)</f>
        <v>190</v>
      </c>
      <c r="AG5" s="4" t="str">
        <f>VLOOKUP(AE5,'Team Hub'!$B$1:$F$65,5,false)</f>
        <v/>
      </c>
      <c r="AH5" s="5" t="s">
        <v>86</v>
      </c>
      <c r="AI5" s="5">
        <f>VLOOKUP(AH5,'Team Hub'!$B$1:$F$65,4,false)</f>
        <v>200</v>
      </c>
      <c r="AJ5" s="4" t="str">
        <f>VLOOKUP(AH5,'Team Hub'!$B$1:$F$65,5,false)</f>
        <v/>
      </c>
      <c r="AK5" s="5" t="s">
        <v>64</v>
      </c>
      <c r="AL5" s="5">
        <f>VLOOKUP(AK5,'Team Hub'!$B$1:$F$65,4,false)</f>
        <v>210</v>
      </c>
      <c r="AM5" s="4" t="str">
        <f>VLOOKUP(AK5,'Team Hub'!$B$1:$F$65,5,false)</f>
        <v/>
      </c>
      <c r="AN5" s="5" t="s">
        <v>88</v>
      </c>
      <c r="AO5" s="5">
        <f>VLOOKUP(AN5,'Team Hub'!$B$1:$F$65,4,false)</f>
        <v>0</v>
      </c>
      <c r="AP5" s="4" t="str">
        <f>VLOOKUP(AN5,'Team Hub'!$B$1:$F$65,5,false)</f>
        <v/>
      </c>
      <c r="AQ5" s="5" t="s">
        <v>66</v>
      </c>
      <c r="AR5" s="5">
        <f>VLOOKUP(AQ5,'Team Hub'!$B$1:$F$65,4,false)</f>
        <v>0</v>
      </c>
      <c r="AS5" s="4" t="str">
        <f>VLOOKUP(AQ5,'Team Hub'!$B$1:$F$65,5,false)</f>
        <v/>
      </c>
      <c r="AT5" s="5" t="s">
        <v>79</v>
      </c>
      <c r="AU5" s="5">
        <f>VLOOKUP(AT5,'Team Hub'!$B$1:$F$65,4,false)</f>
        <v>0</v>
      </c>
      <c r="AV5" s="4" t="str">
        <f>VLOOKUP(AT5,'Team Hub'!$B$1:$F$65,5,false)</f>
        <v/>
      </c>
      <c r="AW5" s="5" t="s">
        <v>95</v>
      </c>
      <c r="AX5" s="5">
        <f>VLOOKUP(AW5,'Team Hub'!$B$1:$F$65,4,false)</f>
        <v>0</v>
      </c>
      <c r="AY5" s="4" t="str">
        <f>VLOOKUP(AW5,'Team Hub'!$B$1:$F$65,5,false)</f>
        <v/>
      </c>
      <c r="AZ5" s="4" t="s">
        <v>69</v>
      </c>
    </row>
    <row r="6" ht="22.5" customHeight="1">
      <c r="A6" s="4" t="s">
        <v>96</v>
      </c>
      <c r="B6" s="2">
        <f t="shared" ref="B6:C6" si="5">sum(E6+H6+K6+N6+Q6+T6+W6+Z6+AC6+AF6+AI6+AL6+AO6+AR6+AU6+AX6)</f>
        <v>2870</v>
      </c>
      <c r="C6" s="2">
        <f t="shared" si="5"/>
        <v>0</v>
      </c>
      <c r="D6" s="5" t="s">
        <v>53</v>
      </c>
      <c r="E6" s="5">
        <f>VLOOKUP(D6,'Team Hub'!$B$1:$F$65,4,false)</f>
        <v>400</v>
      </c>
      <c r="F6" s="4" t="str">
        <f>VLOOKUP(D6,'Team Hub'!$B$1:$F$65,5,false)</f>
        <v/>
      </c>
      <c r="G6" s="5" t="s">
        <v>54</v>
      </c>
      <c r="H6" s="5">
        <f>VLOOKUP(G6,'Team Hub'!$B$1:$F$65,4,false)</f>
        <v>330</v>
      </c>
      <c r="I6" s="4" t="str">
        <f>VLOOKUP(G6,'Team Hub'!$B$1:$F$65,5,false)</f>
        <v/>
      </c>
      <c r="J6" s="5" t="s">
        <v>55</v>
      </c>
      <c r="K6" s="5">
        <f>VLOOKUP(J6,'Team Hub'!$B$1:$F$65,4,false)</f>
        <v>360</v>
      </c>
      <c r="L6" s="4" t="str">
        <f>VLOOKUP(J6,'Team Hub'!$B$1:$F$65,5,false)</f>
        <v/>
      </c>
      <c r="M6" s="5" t="s">
        <v>97</v>
      </c>
      <c r="N6" s="5">
        <f>VLOOKUP(M6,'Team Hub'!$B$1:$F$65,4,false)</f>
        <v>260</v>
      </c>
      <c r="O6" s="5" t="str">
        <f>VLOOKUP(M6,'Team Hub'!$B$1:$F$65,5,false)</f>
        <v/>
      </c>
      <c r="P6" s="5" t="s">
        <v>57</v>
      </c>
      <c r="Q6" s="5">
        <f>VLOOKUP(P6,'Team Hub'!$B$1:$F$65,4,false)</f>
        <v>280</v>
      </c>
      <c r="R6" s="5" t="str">
        <f>VLOOKUP(P6,'Team Hub'!$B$1:$F$65,5,false)</f>
        <v/>
      </c>
      <c r="S6" s="5" t="s">
        <v>82</v>
      </c>
      <c r="T6" s="5">
        <f>VLOOKUP(S6,'Team Hub'!$B$1:$F$65,4,false)</f>
        <v>300</v>
      </c>
      <c r="U6" s="5" t="str">
        <f>VLOOKUP(S6,'Team Hub'!$B$1:$F$65,5,false)</f>
        <v/>
      </c>
      <c r="V6" s="5" t="s">
        <v>75</v>
      </c>
      <c r="W6" s="5">
        <f>VLOOKUP(V6,'Team Hub'!$B$1:$F$65,4,false)</f>
        <v>0</v>
      </c>
      <c r="X6" s="5" t="str">
        <f>VLOOKUP(V6,'Team Hub'!$B$1:$F$65,5,false)</f>
        <v/>
      </c>
      <c r="Y6" s="5" t="s">
        <v>76</v>
      </c>
      <c r="Z6" s="5">
        <f>VLOOKUP(Y6,'Team Hub'!$B$1:$F$65,4,false)</f>
        <v>170</v>
      </c>
      <c r="AA6" s="4" t="str">
        <f>VLOOKUP(Y6,'Team Hub'!$B$1:$F$65,5,false)</f>
        <v/>
      </c>
      <c r="AB6" s="5" t="s">
        <v>61</v>
      </c>
      <c r="AC6" s="5">
        <f>VLOOKUP(AB6,'Team Hub'!$B$1:$F$65,4,false)</f>
        <v>180</v>
      </c>
      <c r="AD6" s="4" t="str">
        <f>VLOOKUP(AB6,'Team Hub'!$B$1:$F$65,5,false)</f>
        <v/>
      </c>
      <c r="AE6" s="5" t="s">
        <v>62</v>
      </c>
      <c r="AF6" s="5">
        <f>VLOOKUP(AE6,'Team Hub'!$B$1:$F$65,4,false)</f>
        <v>380</v>
      </c>
      <c r="AG6" s="4" t="str">
        <f>VLOOKUP(AE6,'Team Hub'!$B$1:$F$65,5,false)</f>
        <v/>
      </c>
      <c r="AH6" s="5" t="s">
        <v>98</v>
      </c>
      <c r="AI6" s="5">
        <f>VLOOKUP(AH6,'Team Hub'!$B$1:$F$65,4,false)</f>
        <v>0</v>
      </c>
      <c r="AJ6" s="4" t="str">
        <f>VLOOKUP(AH6,'Team Hub'!$B$1:$F$65,5,false)</f>
        <v/>
      </c>
      <c r="AK6" s="5" t="s">
        <v>64</v>
      </c>
      <c r="AL6" s="5">
        <f>VLOOKUP(AK6,'Team Hub'!$B$1:$F$65,4,false)</f>
        <v>210</v>
      </c>
      <c r="AM6" s="4" t="str">
        <f>VLOOKUP(AK6,'Team Hub'!$B$1:$F$65,5,false)</f>
        <v/>
      </c>
      <c r="AN6" s="5" t="s">
        <v>77</v>
      </c>
      <c r="AO6" s="5">
        <f>VLOOKUP(AN6,'Team Hub'!$B$1:$F$65,4,false)</f>
        <v>0</v>
      </c>
      <c r="AP6" s="4" t="str">
        <f>VLOOKUP(AN6,'Team Hub'!$B$1:$F$65,5,false)</f>
        <v/>
      </c>
      <c r="AQ6" s="5" t="s">
        <v>78</v>
      </c>
      <c r="AR6" s="5">
        <f>VLOOKUP(AQ6,'Team Hub'!$B$1:$F$65,4,false)</f>
        <v>0</v>
      </c>
      <c r="AS6" s="4" t="str">
        <f>VLOOKUP(AQ6,'Team Hub'!$B$1:$F$65,5,false)</f>
        <v/>
      </c>
      <c r="AT6" s="5" t="s">
        <v>79</v>
      </c>
      <c r="AU6" s="5">
        <f>VLOOKUP(AT6,'Team Hub'!$B$1:$F$65,4,false)</f>
        <v>0</v>
      </c>
      <c r="AV6" s="4" t="str">
        <f>VLOOKUP(AT6,'Team Hub'!$B$1:$F$65,5,false)</f>
        <v/>
      </c>
      <c r="AW6" s="5" t="s">
        <v>99</v>
      </c>
      <c r="AX6" s="5">
        <f>VLOOKUP(AW6,'Team Hub'!$B$1:$F$65,4,false)</f>
        <v>0</v>
      </c>
      <c r="AY6" s="4" t="str">
        <f>VLOOKUP(AW6,'Team Hub'!$B$1:$F$65,5,false)</f>
        <v/>
      </c>
      <c r="AZ6" s="4" t="s">
        <v>69</v>
      </c>
    </row>
    <row r="7" ht="22.5" customHeight="1">
      <c r="A7" s="4" t="s">
        <v>100</v>
      </c>
      <c r="B7" s="2">
        <f t="shared" ref="B7:C7" si="6">sum(E7+H7+K7+N7+Q7+T7+W7+Z7+AC7+AF7+AI7+AL7+AO7+AR7+AU7+AX7)</f>
        <v>2850</v>
      </c>
      <c r="C7" s="2">
        <f t="shared" si="6"/>
        <v>0</v>
      </c>
      <c r="D7" s="5" t="s">
        <v>53</v>
      </c>
      <c r="E7" s="5">
        <f>VLOOKUP(D7,'Team Hub'!$B$1:$F$65,4,false)</f>
        <v>400</v>
      </c>
      <c r="F7" s="4" t="str">
        <f>VLOOKUP(D7,'Team Hub'!$B$1:$F$65,5,false)</f>
        <v/>
      </c>
      <c r="G7" s="5" t="s">
        <v>81</v>
      </c>
      <c r="H7" s="5">
        <f>VLOOKUP(G7,'Team Hub'!$B$1:$F$65,4,false)</f>
        <v>330</v>
      </c>
      <c r="I7" s="4" t="str">
        <f>VLOOKUP(G7,'Team Hub'!$B$1:$F$65,5,false)</f>
        <v/>
      </c>
      <c r="J7" s="5" t="s">
        <v>101</v>
      </c>
      <c r="K7" s="5">
        <f>VLOOKUP(J7,'Team Hub'!$B$1:$F$65,4,false)</f>
        <v>120</v>
      </c>
      <c r="L7" s="4" t="str">
        <f>VLOOKUP(J7,'Team Hub'!$B$1:$F$65,5,false)</f>
        <v/>
      </c>
      <c r="M7" s="5" t="s">
        <v>56</v>
      </c>
      <c r="N7" s="5">
        <f>VLOOKUP(M7,'Team Hub'!$B$1:$F$65,4,false)</f>
        <v>260</v>
      </c>
      <c r="O7" s="5" t="str">
        <f>VLOOKUP(M7,'Team Hub'!$B$1:$F$65,5,false)</f>
        <v/>
      </c>
      <c r="P7" s="5" t="s">
        <v>102</v>
      </c>
      <c r="Q7" s="5">
        <f>VLOOKUP(P7,'Team Hub'!$B$1:$F$65,4,false)</f>
        <v>140</v>
      </c>
      <c r="R7" s="5" t="str">
        <f>VLOOKUP(P7,'Team Hub'!$B$1:$F$65,5,false)</f>
        <v/>
      </c>
      <c r="S7" s="5" t="s">
        <v>58</v>
      </c>
      <c r="T7" s="5">
        <f>VLOOKUP(S7,'Team Hub'!$B$1:$F$65,4,false)</f>
        <v>300</v>
      </c>
      <c r="U7" s="5" t="str">
        <f>VLOOKUP(S7,'Team Hub'!$B$1:$F$65,5,false)</f>
        <v/>
      </c>
      <c r="V7" s="5" t="s">
        <v>59</v>
      </c>
      <c r="W7" s="5">
        <f>VLOOKUP(V7,'Team Hub'!$B$1:$F$65,4,false)</f>
        <v>160</v>
      </c>
      <c r="X7" s="5" t="str">
        <f>VLOOKUP(V7,'Team Hub'!$B$1:$F$65,5,false)</f>
        <v/>
      </c>
      <c r="Y7" s="5" t="s">
        <v>76</v>
      </c>
      <c r="Z7" s="5">
        <f>VLOOKUP(Y7,'Team Hub'!$B$1:$F$65,4,false)</f>
        <v>170</v>
      </c>
      <c r="AA7" s="4" t="str">
        <f>VLOOKUP(Y7,'Team Hub'!$B$1:$F$65,5,false)</f>
        <v/>
      </c>
      <c r="AB7" s="5" t="s">
        <v>61</v>
      </c>
      <c r="AC7" s="5">
        <f>VLOOKUP(AB7,'Team Hub'!$B$1:$F$65,4,false)</f>
        <v>180</v>
      </c>
      <c r="AD7" s="4" t="str">
        <f>VLOOKUP(AB7,'Team Hub'!$B$1:$F$65,5,false)</f>
        <v/>
      </c>
      <c r="AE7" s="5" t="s">
        <v>62</v>
      </c>
      <c r="AF7" s="5">
        <f>VLOOKUP(AE7,'Team Hub'!$B$1:$F$65,4,false)</f>
        <v>380</v>
      </c>
      <c r="AG7" s="4" t="str">
        <f>VLOOKUP(AE7,'Team Hub'!$B$1:$F$65,5,false)</f>
        <v/>
      </c>
      <c r="AH7" s="5" t="s">
        <v>86</v>
      </c>
      <c r="AI7" s="5">
        <f>VLOOKUP(AH7,'Team Hub'!$B$1:$F$65,4,false)</f>
        <v>200</v>
      </c>
      <c r="AJ7" s="4" t="str">
        <f>VLOOKUP(AH7,'Team Hub'!$B$1:$F$65,5,false)</f>
        <v/>
      </c>
      <c r="AK7" s="5" t="s">
        <v>87</v>
      </c>
      <c r="AL7" s="5">
        <f>VLOOKUP(AK7,'Team Hub'!$B$1:$F$65,4,false)</f>
        <v>210</v>
      </c>
      <c r="AM7" s="4" t="str">
        <f>VLOOKUP(AK7,'Team Hub'!$B$1:$F$65,5,false)</f>
        <v/>
      </c>
      <c r="AN7" s="5" t="s">
        <v>88</v>
      </c>
      <c r="AO7" s="5">
        <f>VLOOKUP(AN7,'Team Hub'!$B$1:$F$65,4,false)</f>
        <v>0</v>
      </c>
      <c r="AP7" s="4" t="str">
        <f>VLOOKUP(AN7,'Team Hub'!$B$1:$F$65,5,false)</f>
        <v/>
      </c>
      <c r="AQ7" s="5" t="s">
        <v>78</v>
      </c>
      <c r="AR7" s="5">
        <f>VLOOKUP(AQ7,'Team Hub'!$B$1:$F$65,4,false)</f>
        <v>0</v>
      </c>
      <c r="AS7" s="4" t="str">
        <f>VLOOKUP(AQ7,'Team Hub'!$B$1:$F$65,5,false)</f>
        <v/>
      </c>
      <c r="AT7" s="5" t="s">
        <v>79</v>
      </c>
      <c r="AU7" s="5">
        <f>VLOOKUP(AT7,'Team Hub'!$B$1:$F$65,4,false)</f>
        <v>0</v>
      </c>
      <c r="AV7" s="4" t="str">
        <f>VLOOKUP(AT7,'Team Hub'!$B$1:$F$65,5,false)</f>
        <v/>
      </c>
      <c r="AW7" s="5" t="s">
        <v>103</v>
      </c>
      <c r="AX7" s="5">
        <f>VLOOKUP(AW7,'Team Hub'!$B$1:$F$65,4,false)</f>
        <v>0</v>
      </c>
      <c r="AY7" s="4" t="str">
        <f>VLOOKUP(AW7,'Team Hub'!$B$1:$F$65,5,false)</f>
        <v/>
      </c>
      <c r="AZ7" s="4" t="s">
        <v>69</v>
      </c>
    </row>
    <row r="8" ht="22.5" customHeight="1">
      <c r="A8" s="4" t="s">
        <v>104</v>
      </c>
      <c r="B8" s="2">
        <f t="shared" ref="B8:C8" si="7">sum(E8+H8+K8+N8+Q8+T8+W8+Z8+AC8+AF8+AI8+AL8+AO8+AR8+AU8+AX8)</f>
        <v>2840</v>
      </c>
      <c r="C8" s="2">
        <f t="shared" si="7"/>
        <v>0</v>
      </c>
      <c r="D8" s="5" t="s">
        <v>53</v>
      </c>
      <c r="E8" s="5">
        <f>VLOOKUP(D8,'Team Hub'!$B$1:$F$65,4,false)</f>
        <v>400</v>
      </c>
      <c r="F8" s="4" t="str">
        <f>VLOOKUP(D8,'Team Hub'!$B$1:$F$65,5,false)</f>
        <v/>
      </c>
      <c r="G8" s="5" t="s">
        <v>81</v>
      </c>
      <c r="H8" s="5">
        <f>VLOOKUP(G8,'Team Hub'!$B$1:$F$65,4,false)</f>
        <v>330</v>
      </c>
      <c r="I8" s="4" t="str">
        <f>VLOOKUP(G8,'Team Hub'!$B$1:$F$65,5,false)</f>
        <v/>
      </c>
      <c r="J8" s="5" t="s">
        <v>55</v>
      </c>
      <c r="K8" s="5">
        <f>VLOOKUP(J8,'Team Hub'!$B$1:$F$65,4,false)</f>
        <v>360</v>
      </c>
      <c r="L8" s="4" t="str">
        <f>VLOOKUP(J8,'Team Hub'!$B$1:$F$65,5,false)</f>
        <v/>
      </c>
      <c r="M8" s="5" t="s">
        <v>74</v>
      </c>
      <c r="N8" s="5">
        <f>VLOOKUP(M8,'Team Hub'!$B$1:$F$65,4,false)</f>
        <v>260</v>
      </c>
      <c r="O8" s="5" t="str">
        <f>VLOOKUP(M8,'Team Hub'!$B$1:$F$65,5,false)</f>
        <v/>
      </c>
      <c r="P8" s="5" t="s">
        <v>57</v>
      </c>
      <c r="Q8" s="5">
        <f>VLOOKUP(P8,'Team Hub'!$B$1:$F$65,4,false)</f>
        <v>280</v>
      </c>
      <c r="R8" s="5" t="str">
        <f>VLOOKUP(P8,'Team Hub'!$B$1:$F$65,5,false)</f>
        <v/>
      </c>
      <c r="S8" s="5" t="s">
        <v>82</v>
      </c>
      <c r="T8" s="5">
        <f>VLOOKUP(S8,'Team Hub'!$B$1:$F$65,4,false)</f>
        <v>300</v>
      </c>
      <c r="U8" s="5" t="str">
        <f>VLOOKUP(S8,'Team Hub'!$B$1:$F$65,5,false)</f>
        <v/>
      </c>
      <c r="V8" s="5" t="s">
        <v>59</v>
      </c>
      <c r="W8" s="5">
        <f>VLOOKUP(V8,'Team Hub'!$B$1:$F$65,4,false)</f>
        <v>160</v>
      </c>
      <c r="X8" s="5" t="str">
        <f>VLOOKUP(V8,'Team Hub'!$B$1:$F$65,5,false)</f>
        <v/>
      </c>
      <c r="Y8" s="5" t="s">
        <v>60</v>
      </c>
      <c r="Z8" s="5">
        <f>VLOOKUP(Y8,'Team Hub'!$B$1:$F$65,4,false)</f>
        <v>170</v>
      </c>
      <c r="AA8" s="4" t="str">
        <f>VLOOKUP(Y8,'Team Hub'!$B$1:$F$65,5,false)</f>
        <v/>
      </c>
      <c r="AB8" s="5" t="s">
        <v>61</v>
      </c>
      <c r="AC8" s="5">
        <f>VLOOKUP(AB8,'Team Hub'!$B$1:$F$65,4,false)</f>
        <v>180</v>
      </c>
      <c r="AD8" s="4" t="str">
        <f>VLOOKUP(AB8,'Team Hub'!$B$1:$F$65,5,false)</f>
        <v/>
      </c>
      <c r="AE8" s="5" t="s">
        <v>85</v>
      </c>
      <c r="AF8" s="5">
        <f>VLOOKUP(AE8,'Team Hub'!$B$1:$F$65,4,false)</f>
        <v>190</v>
      </c>
      <c r="AG8" s="4" t="str">
        <f>VLOOKUP(AE8,'Team Hub'!$B$1:$F$65,5,false)</f>
        <v/>
      </c>
      <c r="AH8" s="5" t="s">
        <v>98</v>
      </c>
      <c r="AI8" s="5">
        <f>VLOOKUP(AH8,'Team Hub'!$B$1:$F$65,4,false)</f>
        <v>0</v>
      </c>
      <c r="AJ8" s="4" t="str">
        <f>VLOOKUP(AH8,'Team Hub'!$B$1:$F$65,5,false)</f>
        <v/>
      </c>
      <c r="AK8" s="5" t="s">
        <v>87</v>
      </c>
      <c r="AL8" s="5">
        <f>VLOOKUP(AK8,'Team Hub'!$B$1:$F$65,4,false)</f>
        <v>210</v>
      </c>
      <c r="AM8" s="4" t="str">
        <f>VLOOKUP(AK8,'Team Hub'!$B$1:$F$65,5,false)</f>
        <v/>
      </c>
      <c r="AN8" s="5" t="s">
        <v>88</v>
      </c>
      <c r="AO8" s="5">
        <f>VLOOKUP(AN8,'Team Hub'!$B$1:$F$65,4,false)</f>
        <v>0</v>
      </c>
      <c r="AP8" s="4" t="str">
        <f>VLOOKUP(AN8,'Team Hub'!$B$1:$F$65,5,false)</f>
        <v/>
      </c>
      <c r="AQ8" s="5" t="s">
        <v>66</v>
      </c>
      <c r="AR8" s="5">
        <f>VLOOKUP(AQ8,'Team Hub'!$B$1:$F$65,4,false)</f>
        <v>0</v>
      </c>
      <c r="AS8" s="4" t="str">
        <f>VLOOKUP(AQ8,'Team Hub'!$B$1:$F$65,5,false)</f>
        <v/>
      </c>
      <c r="AT8" s="5" t="s">
        <v>105</v>
      </c>
      <c r="AU8" s="5">
        <f>VLOOKUP(AT8,'Team Hub'!$B$1:$F$65,4,false)</f>
        <v>0</v>
      </c>
      <c r="AV8" s="5" t="str">
        <f>VLOOKUP(AT8,'Team Hub'!$B$1:$F$65,5,false)</f>
        <v/>
      </c>
      <c r="AW8" s="5" t="s">
        <v>103</v>
      </c>
      <c r="AX8" s="5">
        <f>VLOOKUP(AW8,'Team Hub'!$B$1:$F$65,4,false)</f>
        <v>0</v>
      </c>
      <c r="AY8" s="4" t="str">
        <f>VLOOKUP(AW8,'Team Hub'!$B$1:$F$65,5,false)</f>
        <v/>
      </c>
      <c r="AZ8" s="4" t="s">
        <v>69</v>
      </c>
    </row>
    <row r="9" ht="22.5" customHeight="1">
      <c r="A9" s="4" t="s">
        <v>106</v>
      </c>
      <c r="B9" s="2">
        <f t="shared" ref="B9:C9" si="8">sum(E9+H9+K9+N9+Q9+T9+W9+Z9+AC9+AF9+AI9+AL9+AO9+AR9+AU9+AX9)</f>
        <v>2820</v>
      </c>
      <c r="C9" s="2">
        <f t="shared" si="8"/>
        <v>0</v>
      </c>
      <c r="D9" s="5" t="s">
        <v>53</v>
      </c>
      <c r="E9" s="5">
        <f>VLOOKUP(D9,'Team Hub'!$B$1:$F$65,4,false)</f>
        <v>400</v>
      </c>
      <c r="F9" s="4" t="str">
        <f>VLOOKUP(D9,'Team Hub'!$B$1:$F$65,5,false)</f>
        <v/>
      </c>
      <c r="G9" s="5" t="s">
        <v>81</v>
      </c>
      <c r="H9" s="5">
        <f>VLOOKUP(G9,'Team Hub'!$B$1:$F$65,4,false)</f>
        <v>330</v>
      </c>
      <c r="I9" s="4" t="str">
        <f>VLOOKUP(G9,'Team Hub'!$B$1:$F$65,5,false)</f>
        <v/>
      </c>
      <c r="J9" s="5" t="s">
        <v>55</v>
      </c>
      <c r="K9" s="5">
        <f>VLOOKUP(J9,'Team Hub'!$B$1:$F$65,4,false)</f>
        <v>360</v>
      </c>
      <c r="L9" s="4" t="str">
        <f>VLOOKUP(J9,'Team Hub'!$B$1:$F$65,5,false)</f>
        <v/>
      </c>
      <c r="M9" s="5" t="s">
        <v>56</v>
      </c>
      <c r="N9" s="5">
        <f>VLOOKUP(M9,'Team Hub'!$B$1:$F$65,4,false)</f>
        <v>260</v>
      </c>
      <c r="O9" s="5" t="str">
        <f>VLOOKUP(M9,'Team Hub'!$B$1:$F$65,5,false)</f>
        <v/>
      </c>
      <c r="P9" s="5" t="s">
        <v>57</v>
      </c>
      <c r="Q9" s="5">
        <f>VLOOKUP(P9,'Team Hub'!$B$1:$F$65,4,false)</f>
        <v>280</v>
      </c>
      <c r="R9" s="5" t="str">
        <f>VLOOKUP(P9,'Team Hub'!$B$1:$F$65,5,false)</f>
        <v/>
      </c>
      <c r="S9" s="5" t="s">
        <v>82</v>
      </c>
      <c r="T9" s="5">
        <f>VLOOKUP(S9,'Team Hub'!$B$1:$F$65,4,false)</f>
        <v>300</v>
      </c>
      <c r="U9" s="5" t="str">
        <f>VLOOKUP(S9,'Team Hub'!$B$1:$F$65,5,false)</f>
        <v/>
      </c>
      <c r="V9" s="5" t="s">
        <v>93</v>
      </c>
      <c r="W9" s="5">
        <f>VLOOKUP(V9,'Team Hub'!$B$1:$F$65,4,false)</f>
        <v>160</v>
      </c>
      <c r="X9" s="5" t="str">
        <f>VLOOKUP(V9,'Team Hub'!$B$1:$F$65,5,false)</f>
        <v/>
      </c>
      <c r="Y9" s="5" t="s">
        <v>60</v>
      </c>
      <c r="Z9" s="5">
        <f>VLOOKUP(Y9,'Team Hub'!$B$1:$F$65,4,false)</f>
        <v>170</v>
      </c>
      <c r="AA9" s="4" t="str">
        <f>VLOOKUP(Y9,'Team Hub'!$B$1:$F$65,5,false)</f>
        <v/>
      </c>
      <c r="AB9" s="5" t="s">
        <v>61</v>
      </c>
      <c r="AC9" s="5">
        <f>VLOOKUP(AB9,'Team Hub'!$B$1:$F$65,4,false)</f>
        <v>180</v>
      </c>
      <c r="AD9" s="4" t="str">
        <f>VLOOKUP(AB9,'Team Hub'!$B$1:$F$65,5,false)</f>
        <v/>
      </c>
      <c r="AE9" s="5" t="s">
        <v>62</v>
      </c>
      <c r="AF9" s="5">
        <f>VLOOKUP(AE9,'Team Hub'!$B$1:$F$65,4,false)</f>
        <v>380</v>
      </c>
      <c r="AG9" s="4" t="str">
        <f>VLOOKUP(AE9,'Team Hub'!$B$1:$F$65,5,false)</f>
        <v/>
      </c>
      <c r="AH9" s="5" t="s">
        <v>98</v>
      </c>
      <c r="AI9" s="5">
        <f>VLOOKUP(AH9,'Team Hub'!$B$1:$F$65,4,false)</f>
        <v>0</v>
      </c>
      <c r="AJ9" s="4" t="str">
        <f>VLOOKUP(AH9,'Team Hub'!$B$1:$F$65,5,false)</f>
        <v/>
      </c>
      <c r="AK9" s="5" t="s">
        <v>107</v>
      </c>
      <c r="AL9" s="5">
        <f>VLOOKUP(AK9,'Team Hub'!$B$1:$F$65,4,false)</f>
        <v>0</v>
      </c>
      <c r="AM9" s="4" t="str">
        <f>VLOOKUP(AK9,'Team Hub'!$B$1:$F$65,5,false)</f>
        <v/>
      </c>
      <c r="AN9" s="5" t="s">
        <v>88</v>
      </c>
      <c r="AO9" s="5">
        <f>VLOOKUP(AN9,'Team Hub'!$B$1:$F$65,4,false)</f>
        <v>0</v>
      </c>
      <c r="AP9" s="4" t="str">
        <f>VLOOKUP(AN9,'Team Hub'!$B$1:$F$65,5,false)</f>
        <v/>
      </c>
      <c r="AQ9" s="5" t="s">
        <v>78</v>
      </c>
      <c r="AR9" s="5">
        <f>VLOOKUP(AQ9,'Team Hub'!$B$1:$F$65,4,false)</f>
        <v>0</v>
      </c>
      <c r="AS9" s="4" t="str">
        <f>VLOOKUP(AQ9,'Team Hub'!$B$1:$F$65,5,false)</f>
        <v/>
      </c>
      <c r="AT9" s="5" t="s">
        <v>105</v>
      </c>
      <c r="AU9" s="5">
        <f>VLOOKUP(AT9,'Team Hub'!$B$1:$F$65,4,false)</f>
        <v>0</v>
      </c>
      <c r="AV9" s="5" t="str">
        <f>VLOOKUP(AT9,'Team Hub'!$B$1:$F$65,5,false)</f>
        <v/>
      </c>
      <c r="AW9" s="5" t="s">
        <v>99</v>
      </c>
      <c r="AX9" s="5">
        <f>VLOOKUP(AW9,'Team Hub'!$B$1:$F$65,4,false)</f>
        <v>0</v>
      </c>
      <c r="AY9" s="4" t="str">
        <f>VLOOKUP(AW9,'Team Hub'!$B$1:$F$65,5,false)</f>
        <v/>
      </c>
      <c r="AZ9" s="4" t="s">
        <v>69</v>
      </c>
    </row>
    <row r="10" ht="22.5" customHeight="1">
      <c r="A10" s="4" t="s">
        <v>108</v>
      </c>
      <c r="B10" s="2">
        <f t="shared" ref="B10:C10" si="9">sum(E10+H10+K10+N10+Q10+T10+W10+Z10+AC10+AF10+AI10+AL10+AO10+AR10+AU10+AX10)</f>
        <v>2820</v>
      </c>
      <c r="C10" s="2">
        <f t="shared" si="9"/>
        <v>0</v>
      </c>
      <c r="D10" s="5" t="s">
        <v>53</v>
      </c>
      <c r="E10" s="5">
        <f>VLOOKUP(D10,'Team Hub'!$B$1:$F$65,4,false)</f>
        <v>400</v>
      </c>
      <c r="F10" s="4" t="str">
        <f>VLOOKUP(D10,'Team Hub'!$B$1:$F$65,5,false)</f>
        <v/>
      </c>
      <c r="G10" s="5" t="s">
        <v>109</v>
      </c>
      <c r="H10" s="5">
        <f>VLOOKUP(G10,'Team Hub'!$B$1:$F$65,4,false)</f>
        <v>110</v>
      </c>
      <c r="I10" s="4" t="str">
        <f>VLOOKUP(G10,'Team Hub'!$B$1:$F$65,5,false)</f>
        <v/>
      </c>
      <c r="J10" s="5" t="s">
        <v>55</v>
      </c>
      <c r="K10" s="5">
        <f>VLOOKUP(J10,'Team Hub'!$B$1:$F$65,4,false)</f>
        <v>360</v>
      </c>
      <c r="L10" s="4" t="str">
        <f>VLOOKUP(J10,'Team Hub'!$B$1:$F$65,5,false)</f>
        <v/>
      </c>
      <c r="M10" s="5" t="s">
        <v>97</v>
      </c>
      <c r="N10" s="5">
        <f>VLOOKUP(M10,'Team Hub'!$B$1:$F$65,4,false)</f>
        <v>260</v>
      </c>
      <c r="O10" s="5" t="str">
        <f>VLOOKUP(M10,'Team Hub'!$B$1:$F$65,5,false)</f>
        <v/>
      </c>
      <c r="P10" s="5" t="s">
        <v>57</v>
      </c>
      <c r="Q10" s="5">
        <f>VLOOKUP(P10,'Team Hub'!$B$1:$F$65,4,false)</f>
        <v>280</v>
      </c>
      <c r="R10" s="5" t="str">
        <f>VLOOKUP(P10,'Team Hub'!$B$1:$F$65,5,false)</f>
        <v/>
      </c>
      <c r="S10" s="5" t="s">
        <v>82</v>
      </c>
      <c r="T10" s="5">
        <f>VLOOKUP(S10,'Team Hub'!$B$1:$F$65,4,false)</f>
        <v>300</v>
      </c>
      <c r="U10" s="5" t="str">
        <f>VLOOKUP(S10,'Team Hub'!$B$1:$F$65,5,false)</f>
        <v/>
      </c>
      <c r="V10" s="5" t="s">
        <v>93</v>
      </c>
      <c r="W10" s="5">
        <f>VLOOKUP(V10,'Team Hub'!$B$1:$F$65,4,false)</f>
        <v>160</v>
      </c>
      <c r="X10" s="5" t="str">
        <f>VLOOKUP(V10,'Team Hub'!$B$1:$F$65,5,false)</f>
        <v/>
      </c>
      <c r="Y10" s="5" t="s">
        <v>60</v>
      </c>
      <c r="Z10" s="5">
        <f>VLOOKUP(Y10,'Team Hub'!$B$1:$F$65,4,false)</f>
        <v>170</v>
      </c>
      <c r="AA10" s="4" t="str">
        <f>VLOOKUP(Y10,'Team Hub'!$B$1:$F$65,5,false)</f>
        <v/>
      </c>
      <c r="AB10" s="5" t="s">
        <v>61</v>
      </c>
      <c r="AC10" s="5">
        <f>VLOOKUP(AB10,'Team Hub'!$B$1:$F$65,4,false)</f>
        <v>180</v>
      </c>
      <c r="AD10" s="4" t="str">
        <f>VLOOKUP(AB10,'Team Hub'!$B$1:$F$65,5,false)</f>
        <v/>
      </c>
      <c r="AE10" s="5" t="s">
        <v>85</v>
      </c>
      <c r="AF10" s="5">
        <f>VLOOKUP(AE10,'Team Hub'!$B$1:$F$65,4,false)</f>
        <v>190</v>
      </c>
      <c r="AG10" s="4" t="str">
        <f>VLOOKUP(AE10,'Team Hub'!$B$1:$F$65,5,false)</f>
        <v/>
      </c>
      <c r="AH10" s="5" t="s">
        <v>86</v>
      </c>
      <c r="AI10" s="5">
        <f>VLOOKUP(AH10,'Team Hub'!$B$1:$F$65,4,false)</f>
        <v>200</v>
      </c>
      <c r="AJ10" s="4" t="str">
        <f>VLOOKUP(AH10,'Team Hub'!$B$1:$F$65,5,false)</f>
        <v/>
      </c>
      <c r="AK10" s="5" t="s">
        <v>87</v>
      </c>
      <c r="AL10" s="5">
        <f>VLOOKUP(AK10,'Team Hub'!$B$1:$F$65,4,false)</f>
        <v>210</v>
      </c>
      <c r="AM10" s="4" t="str">
        <f>VLOOKUP(AK10,'Team Hub'!$B$1:$F$65,5,false)</f>
        <v/>
      </c>
      <c r="AN10" s="5" t="s">
        <v>110</v>
      </c>
      <c r="AO10" s="5">
        <f>VLOOKUP(AN10,'Team Hub'!$B$1:$F$65,4,false)</f>
        <v>0</v>
      </c>
      <c r="AP10" s="4" t="str">
        <f>VLOOKUP(AN10,'Team Hub'!$B$1:$F$65,5,false)</f>
        <v/>
      </c>
      <c r="AQ10" s="5" t="s">
        <v>66</v>
      </c>
      <c r="AR10" s="5">
        <f>VLOOKUP(AQ10,'Team Hub'!$B$1:$F$65,4,false)</f>
        <v>0</v>
      </c>
      <c r="AS10" s="4" t="str">
        <f>VLOOKUP(AQ10,'Team Hub'!$B$1:$F$65,5,false)</f>
        <v/>
      </c>
      <c r="AT10" s="5" t="s">
        <v>67</v>
      </c>
      <c r="AU10" s="5">
        <f>VLOOKUP(AT10,'Team Hub'!$B$1:$F$65,4,false)</f>
        <v>0</v>
      </c>
      <c r="AV10" s="4" t="str">
        <f>VLOOKUP(AT10,'Team Hub'!$B$1:$F$65,5,false)</f>
        <v/>
      </c>
      <c r="AW10" s="5" t="s">
        <v>68</v>
      </c>
      <c r="AX10" s="5">
        <f>VLOOKUP(AW10,'Team Hub'!$B$1:$F$65,4,false)</f>
        <v>0</v>
      </c>
      <c r="AY10" s="4" t="str">
        <f>VLOOKUP(AW10,'Team Hub'!$B$1:$F$65,5,false)</f>
        <v/>
      </c>
      <c r="AZ10" s="4" t="s">
        <v>69</v>
      </c>
    </row>
    <row r="11" ht="22.5" customHeight="1">
      <c r="A11" s="4" t="s">
        <v>111</v>
      </c>
      <c r="B11" s="2">
        <f t="shared" ref="B11:C11" si="10">sum(E11+H11+K11+N11+Q11+T11+W11+Z11+AC11+AF11+AI11+AL11+AO11+AR11+AU11+AX11)</f>
        <v>2770</v>
      </c>
      <c r="C11" s="2">
        <f t="shared" si="10"/>
        <v>1</v>
      </c>
      <c r="D11" s="4" t="s">
        <v>71</v>
      </c>
      <c r="E11" s="4">
        <f>VLOOKUP(D11,'Team Hub'!$B$1:$F$65,4,false)</f>
        <v>600</v>
      </c>
      <c r="F11" s="4">
        <f>VLOOKUP(D11,'Team Hub'!$B$1:$F$65,5,false)</f>
        <v>1</v>
      </c>
      <c r="G11" s="5" t="s">
        <v>81</v>
      </c>
      <c r="H11" s="5">
        <f>VLOOKUP(G11,'Team Hub'!$B$1:$F$65,4,false)</f>
        <v>330</v>
      </c>
      <c r="I11" s="4" t="str">
        <f>VLOOKUP(G11,'Team Hub'!$B$1:$F$65,5,false)</f>
        <v/>
      </c>
      <c r="J11" s="5" t="s">
        <v>73</v>
      </c>
      <c r="K11" s="5">
        <f>VLOOKUP(J11,'Team Hub'!$B$1:$F$65,4,false)</f>
        <v>240</v>
      </c>
      <c r="L11" s="4" t="str">
        <f>VLOOKUP(J11,'Team Hub'!$B$1:$F$65,5,false)</f>
        <v/>
      </c>
      <c r="M11" s="5" t="s">
        <v>74</v>
      </c>
      <c r="N11" s="5">
        <f>VLOOKUP(M11,'Team Hub'!$B$1:$F$65,4,false)</f>
        <v>260</v>
      </c>
      <c r="O11" s="5" t="str">
        <f>VLOOKUP(M11,'Team Hub'!$B$1:$F$65,5,false)</f>
        <v/>
      </c>
      <c r="P11" s="5" t="s">
        <v>102</v>
      </c>
      <c r="Q11" s="5">
        <f>VLOOKUP(P11,'Team Hub'!$B$1:$F$65,4,false)</f>
        <v>140</v>
      </c>
      <c r="R11" s="5" t="str">
        <f>VLOOKUP(P11,'Team Hub'!$B$1:$F$65,5,false)</f>
        <v/>
      </c>
      <c r="S11" s="5" t="s">
        <v>82</v>
      </c>
      <c r="T11" s="5">
        <f>VLOOKUP(S11,'Team Hub'!$B$1:$F$65,4,false)</f>
        <v>300</v>
      </c>
      <c r="U11" s="5" t="str">
        <f>VLOOKUP(S11,'Team Hub'!$B$1:$F$65,5,false)</f>
        <v/>
      </c>
      <c r="V11" s="5" t="s">
        <v>59</v>
      </c>
      <c r="W11" s="5">
        <f>VLOOKUP(V11,'Team Hub'!$B$1:$F$65,4,false)</f>
        <v>160</v>
      </c>
      <c r="X11" s="5" t="str">
        <f>VLOOKUP(V11,'Team Hub'!$B$1:$F$65,5,false)</f>
        <v/>
      </c>
      <c r="Y11" s="5" t="s">
        <v>76</v>
      </c>
      <c r="Z11" s="5">
        <f>VLOOKUP(Y11,'Team Hub'!$B$1:$F$65,4,false)</f>
        <v>170</v>
      </c>
      <c r="AA11" s="4" t="str">
        <f>VLOOKUP(Y11,'Team Hub'!$B$1:$F$65,5,false)</f>
        <v/>
      </c>
      <c r="AB11" s="5" t="s">
        <v>94</v>
      </c>
      <c r="AC11" s="5">
        <f>VLOOKUP(AB11,'Team Hub'!$B$1:$F$65,4,false)</f>
        <v>180</v>
      </c>
      <c r="AD11" s="4" t="str">
        <f>VLOOKUP(AB11,'Team Hub'!$B$1:$F$65,5,false)</f>
        <v/>
      </c>
      <c r="AE11" s="5" t="s">
        <v>85</v>
      </c>
      <c r="AF11" s="5">
        <f>VLOOKUP(AE11,'Team Hub'!$B$1:$F$65,4,false)</f>
        <v>190</v>
      </c>
      <c r="AG11" s="4" t="str">
        <f>VLOOKUP(AE11,'Team Hub'!$B$1:$F$65,5,false)</f>
        <v/>
      </c>
      <c r="AH11" s="5" t="s">
        <v>86</v>
      </c>
      <c r="AI11" s="5">
        <f>VLOOKUP(AH11,'Team Hub'!$B$1:$F$65,4,false)</f>
        <v>200</v>
      </c>
      <c r="AJ11" s="4" t="str">
        <f>VLOOKUP(AH11,'Team Hub'!$B$1:$F$65,5,false)</f>
        <v/>
      </c>
      <c r="AK11" s="5" t="s">
        <v>107</v>
      </c>
      <c r="AL11" s="5">
        <f>VLOOKUP(AK11,'Team Hub'!$B$1:$F$65,4,false)</f>
        <v>0</v>
      </c>
      <c r="AM11" s="4" t="str">
        <f>VLOOKUP(AK11,'Team Hub'!$B$1:$F$65,5,false)</f>
        <v/>
      </c>
      <c r="AN11" s="5" t="s">
        <v>88</v>
      </c>
      <c r="AO11" s="5">
        <f>VLOOKUP(AN11,'Team Hub'!$B$1:$F$65,4,false)</f>
        <v>0</v>
      </c>
      <c r="AP11" s="4" t="str">
        <f>VLOOKUP(AN11,'Team Hub'!$B$1:$F$65,5,false)</f>
        <v/>
      </c>
      <c r="AQ11" s="5" t="s">
        <v>89</v>
      </c>
      <c r="AR11" s="5">
        <f>VLOOKUP(AQ11,'Team Hub'!$B$1:$F$65,4,false)</f>
        <v>0</v>
      </c>
      <c r="AS11" s="4" t="str">
        <f>VLOOKUP(AQ11,'Team Hub'!$B$1:$F$65,5,false)</f>
        <v/>
      </c>
      <c r="AT11" s="5" t="s">
        <v>67</v>
      </c>
      <c r="AU11" s="5">
        <f>VLOOKUP(AT11,'Team Hub'!$B$1:$F$65,4,false)</f>
        <v>0</v>
      </c>
      <c r="AV11" s="4" t="str">
        <f>VLOOKUP(AT11,'Team Hub'!$B$1:$F$65,5,false)</f>
        <v/>
      </c>
      <c r="AW11" s="5" t="s">
        <v>95</v>
      </c>
      <c r="AX11" s="5">
        <f>VLOOKUP(AW11,'Team Hub'!$B$1:$F$65,4,false)</f>
        <v>0</v>
      </c>
      <c r="AY11" s="4" t="str">
        <f>VLOOKUP(AW11,'Team Hub'!$B$1:$F$65,5,false)</f>
        <v/>
      </c>
      <c r="AZ11" s="4" t="s">
        <v>69</v>
      </c>
    </row>
    <row r="12" ht="22.5" customHeight="1">
      <c r="A12" s="4" t="s">
        <v>112</v>
      </c>
      <c r="B12" s="2">
        <f t="shared" ref="B12:C12" si="11">sum(E12+H12+K12+N12+Q12+T12+W12+Z12+AC12+AF12+AI12+AL12+AO12+AR12+AU12+AX12)</f>
        <v>2710</v>
      </c>
      <c r="C12" s="2">
        <f t="shared" si="11"/>
        <v>1</v>
      </c>
      <c r="D12" s="4" t="s">
        <v>71</v>
      </c>
      <c r="E12" s="4">
        <f>VLOOKUP(D12,'Team Hub'!$B$1:$F$65,4,false)</f>
        <v>600</v>
      </c>
      <c r="F12" s="4">
        <f>VLOOKUP(D12,'Team Hub'!$B$1:$F$65,5,false)</f>
        <v>1</v>
      </c>
      <c r="G12" s="5" t="s">
        <v>81</v>
      </c>
      <c r="H12" s="5">
        <f>VLOOKUP(G12,'Team Hub'!$B$1:$F$65,4,false)</f>
        <v>330</v>
      </c>
      <c r="I12" s="4" t="str">
        <f>VLOOKUP(G12,'Team Hub'!$B$1:$F$65,5,false)</f>
        <v/>
      </c>
      <c r="J12" s="5" t="s">
        <v>101</v>
      </c>
      <c r="K12" s="5">
        <f>VLOOKUP(J12,'Team Hub'!$B$1:$F$65,4,false)</f>
        <v>120</v>
      </c>
      <c r="L12" s="4" t="str">
        <f>VLOOKUP(J12,'Team Hub'!$B$1:$F$65,5,false)</f>
        <v/>
      </c>
      <c r="M12" s="5" t="s">
        <v>56</v>
      </c>
      <c r="N12" s="5">
        <f>VLOOKUP(M12,'Team Hub'!$B$1:$F$65,4,false)</f>
        <v>260</v>
      </c>
      <c r="O12" s="5" t="str">
        <f>VLOOKUP(M12,'Team Hub'!$B$1:$F$65,5,false)</f>
        <v/>
      </c>
      <c r="P12" s="5" t="s">
        <v>57</v>
      </c>
      <c r="Q12" s="5">
        <f>VLOOKUP(P12,'Team Hub'!$B$1:$F$65,4,false)</f>
        <v>280</v>
      </c>
      <c r="R12" s="5" t="str">
        <f>VLOOKUP(P12,'Team Hub'!$B$1:$F$65,5,false)</f>
        <v/>
      </c>
      <c r="S12" s="5" t="s">
        <v>113</v>
      </c>
      <c r="T12" s="5">
        <f>VLOOKUP(S12,'Team Hub'!$B$1:$F$65,4,false)</f>
        <v>0</v>
      </c>
      <c r="U12" s="5" t="str">
        <f>VLOOKUP(S12,'Team Hub'!$B$1:$F$65,5,false)</f>
        <v/>
      </c>
      <c r="V12" s="5" t="s">
        <v>59</v>
      </c>
      <c r="W12" s="5">
        <f>VLOOKUP(V12,'Team Hub'!$B$1:$F$65,4,false)</f>
        <v>160</v>
      </c>
      <c r="X12" s="5" t="str">
        <f>VLOOKUP(V12,'Team Hub'!$B$1:$F$65,5,false)</f>
        <v/>
      </c>
      <c r="Y12" s="5" t="s">
        <v>76</v>
      </c>
      <c r="Z12" s="5">
        <f>VLOOKUP(Y12,'Team Hub'!$B$1:$F$65,4,false)</f>
        <v>170</v>
      </c>
      <c r="AA12" s="4" t="str">
        <f>VLOOKUP(Y12,'Team Hub'!$B$1:$F$65,5,false)</f>
        <v/>
      </c>
      <c r="AB12" s="5" t="s">
        <v>114</v>
      </c>
      <c r="AC12" s="5">
        <f>VLOOKUP(AB12,'Team Hub'!$B$1:$F$65,4,false)</f>
        <v>0</v>
      </c>
      <c r="AD12" s="4" t="str">
        <f>VLOOKUP(AB12,'Team Hub'!$B$1:$F$65,5,false)</f>
        <v/>
      </c>
      <c r="AE12" s="5" t="s">
        <v>62</v>
      </c>
      <c r="AF12" s="5">
        <f>VLOOKUP(AE12,'Team Hub'!$B$1:$F$65,4,false)</f>
        <v>380</v>
      </c>
      <c r="AG12" s="4" t="str">
        <f>VLOOKUP(AE12,'Team Hub'!$B$1:$F$65,5,false)</f>
        <v/>
      </c>
      <c r="AH12" s="5" t="s">
        <v>86</v>
      </c>
      <c r="AI12" s="5">
        <f>VLOOKUP(AH12,'Team Hub'!$B$1:$F$65,4,false)</f>
        <v>200</v>
      </c>
      <c r="AJ12" s="4" t="str">
        <f>VLOOKUP(AH12,'Team Hub'!$B$1:$F$65,5,false)</f>
        <v/>
      </c>
      <c r="AK12" s="5" t="s">
        <v>64</v>
      </c>
      <c r="AL12" s="5">
        <f>VLOOKUP(AK12,'Team Hub'!$B$1:$F$65,4,false)</f>
        <v>210</v>
      </c>
      <c r="AM12" s="4" t="str">
        <f>VLOOKUP(AK12,'Team Hub'!$B$1:$F$65,5,false)</f>
        <v/>
      </c>
      <c r="AN12" s="5" t="s">
        <v>88</v>
      </c>
      <c r="AO12" s="5">
        <f>VLOOKUP(AN12,'Team Hub'!$B$1:$F$65,4,false)</f>
        <v>0</v>
      </c>
      <c r="AP12" s="4" t="str">
        <f>VLOOKUP(AN12,'Team Hub'!$B$1:$F$65,5,false)</f>
        <v/>
      </c>
      <c r="AQ12" s="5" t="s">
        <v>89</v>
      </c>
      <c r="AR12" s="5">
        <f>VLOOKUP(AQ12,'Team Hub'!$B$1:$F$65,4,false)</f>
        <v>0</v>
      </c>
      <c r="AS12" s="4" t="str">
        <f>VLOOKUP(AQ12,'Team Hub'!$B$1:$F$65,5,false)</f>
        <v/>
      </c>
      <c r="AT12" s="5" t="s">
        <v>79</v>
      </c>
      <c r="AU12" s="5">
        <f>VLOOKUP(AT12,'Team Hub'!$B$1:$F$65,4,false)</f>
        <v>0</v>
      </c>
      <c r="AV12" s="4" t="str">
        <f>VLOOKUP(AT12,'Team Hub'!$B$1:$F$65,5,false)</f>
        <v/>
      </c>
      <c r="AW12" s="5" t="s">
        <v>99</v>
      </c>
      <c r="AX12" s="5">
        <f>VLOOKUP(AW12,'Team Hub'!$B$1:$F$65,4,false)</f>
        <v>0</v>
      </c>
      <c r="AY12" s="4" t="str">
        <f>VLOOKUP(AW12,'Team Hub'!$B$1:$F$65,5,false)</f>
        <v/>
      </c>
      <c r="AZ12" s="4" t="s">
        <v>69</v>
      </c>
    </row>
    <row r="13" ht="22.5" customHeight="1">
      <c r="A13" s="4" t="s">
        <v>115</v>
      </c>
      <c r="B13" s="2">
        <f t="shared" ref="B13:C13" si="12">sum(E13+H13+K13+N13+Q13+T13+W13+Z13+AC13+AF13+AI13+AL13+AO13+AR13+AU13+AX13)</f>
        <v>2700</v>
      </c>
      <c r="C13" s="2">
        <f t="shared" si="12"/>
        <v>0</v>
      </c>
      <c r="D13" s="5" t="s">
        <v>91</v>
      </c>
      <c r="E13" s="5">
        <f>VLOOKUP(D13,'Team Hub'!$B$1:$F$65,4,false)</f>
        <v>400</v>
      </c>
      <c r="F13" s="4" t="str">
        <f>VLOOKUP(D13,'Team Hub'!$B$1:$F$65,5,false)</f>
        <v/>
      </c>
      <c r="G13" s="5" t="s">
        <v>54</v>
      </c>
      <c r="H13" s="5">
        <f>VLOOKUP(G13,'Team Hub'!$B$1:$F$65,4,false)</f>
        <v>330</v>
      </c>
      <c r="I13" s="4" t="str">
        <f>VLOOKUP(G13,'Team Hub'!$B$1:$F$65,5,false)</f>
        <v/>
      </c>
      <c r="J13" s="5" t="s">
        <v>55</v>
      </c>
      <c r="K13" s="5">
        <f>VLOOKUP(J13,'Team Hub'!$B$1:$F$65,4,false)</f>
        <v>360</v>
      </c>
      <c r="L13" s="4" t="str">
        <f>VLOOKUP(J13,'Team Hub'!$B$1:$F$65,5,false)</f>
        <v/>
      </c>
      <c r="M13" s="5" t="s">
        <v>97</v>
      </c>
      <c r="N13" s="5">
        <f>VLOOKUP(M13,'Team Hub'!$B$1:$F$65,4,false)</f>
        <v>260</v>
      </c>
      <c r="O13" s="5" t="str">
        <f>VLOOKUP(M13,'Team Hub'!$B$1:$F$65,5,false)</f>
        <v/>
      </c>
      <c r="P13" s="5" t="s">
        <v>57</v>
      </c>
      <c r="Q13" s="5">
        <f>VLOOKUP(P13,'Team Hub'!$B$1:$F$65,4,false)</f>
        <v>280</v>
      </c>
      <c r="R13" s="5" t="str">
        <f>VLOOKUP(P13,'Team Hub'!$B$1:$F$65,5,false)</f>
        <v/>
      </c>
      <c r="S13" s="5" t="s">
        <v>92</v>
      </c>
      <c r="T13" s="5">
        <f>VLOOKUP(S13,'Team Hub'!$B$1:$F$65,4,false)</f>
        <v>150</v>
      </c>
      <c r="U13" s="5" t="str">
        <f>VLOOKUP(S13,'Team Hub'!$B$1:$F$65,5,false)</f>
        <v/>
      </c>
      <c r="V13" s="5" t="s">
        <v>93</v>
      </c>
      <c r="W13" s="5">
        <f>VLOOKUP(V13,'Team Hub'!$B$1:$F$65,4,false)</f>
        <v>160</v>
      </c>
      <c r="X13" s="5" t="str">
        <f>VLOOKUP(V13,'Team Hub'!$B$1:$F$65,5,false)</f>
        <v/>
      </c>
      <c r="Y13" s="5" t="s">
        <v>76</v>
      </c>
      <c r="Z13" s="5">
        <f>VLOOKUP(Y13,'Team Hub'!$B$1:$F$65,4,false)</f>
        <v>170</v>
      </c>
      <c r="AA13" s="4" t="str">
        <f>VLOOKUP(Y13,'Team Hub'!$B$1:$F$65,5,false)</f>
        <v/>
      </c>
      <c r="AB13" s="5" t="s">
        <v>114</v>
      </c>
      <c r="AC13" s="5">
        <f>VLOOKUP(AB13,'Team Hub'!$B$1:$F$65,4,false)</f>
        <v>0</v>
      </c>
      <c r="AD13" s="4" t="str">
        <f>VLOOKUP(AB13,'Team Hub'!$B$1:$F$65,5,false)</f>
        <v/>
      </c>
      <c r="AE13" s="5" t="s">
        <v>62</v>
      </c>
      <c r="AF13" s="5">
        <f>VLOOKUP(AE13,'Team Hub'!$B$1:$F$65,4,false)</f>
        <v>380</v>
      </c>
      <c r="AG13" s="4" t="str">
        <f>VLOOKUP(AE13,'Team Hub'!$B$1:$F$65,5,false)</f>
        <v/>
      </c>
      <c r="AH13" s="5" t="s">
        <v>116</v>
      </c>
      <c r="AI13" s="5">
        <f>VLOOKUP(AH13,'Team Hub'!$B$1:$F$65,4,false)</f>
        <v>0</v>
      </c>
      <c r="AJ13" s="4" t="str">
        <f>VLOOKUP(AH13,'Team Hub'!$B$1:$F$65,5,false)</f>
        <v/>
      </c>
      <c r="AK13" s="5" t="s">
        <v>64</v>
      </c>
      <c r="AL13" s="5">
        <f>VLOOKUP(AK13,'Team Hub'!$B$1:$F$65,4,false)</f>
        <v>210</v>
      </c>
      <c r="AM13" s="4" t="str">
        <f>VLOOKUP(AK13,'Team Hub'!$B$1:$F$65,5,false)</f>
        <v/>
      </c>
      <c r="AN13" s="5" t="s">
        <v>88</v>
      </c>
      <c r="AO13" s="5">
        <f>VLOOKUP(AN13,'Team Hub'!$B$1:$F$65,4,false)</f>
        <v>0</v>
      </c>
      <c r="AP13" s="4" t="str">
        <f>VLOOKUP(AN13,'Team Hub'!$B$1:$F$65,5,false)</f>
        <v/>
      </c>
      <c r="AQ13" s="5" t="s">
        <v>117</v>
      </c>
      <c r="AR13" s="5">
        <f>VLOOKUP(AQ13,'Team Hub'!$B$1:$F$65,4,false)</f>
        <v>0</v>
      </c>
      <c r="AS13" s="4" t="str">
        <f>VLOOKUP(AQ13,'Team Hub'!$B$1:$F$65,5,false)</f>
        <v/>
      </c>
      <c r="AT13" s="5" t="s">
        <v>105</v>
      </c>
      <c r="AU13" s="5">
        <f>VLOOKUP(AT13,'Team Hub'!$B$1:$F$65,4,false)</f>
        <v>0</v>
      </c>
      <c r="AV13" s="5" t="str">
        <f>VLOOKUP(AT13,'Team Hub'!$B$1:$F$65,5,false)</f>
        <v/>
      </c>
      <c r="AW13" s="5" t="s">
        <v>68</v>
      </c>
      <c r="AX13" s="5">
        <f>VLOOKUP(AW13,'Team Hub'!$B$1:$F$65,4,false)</f>
        <v>0</v>
      </c>
      <c r="AY13" s="4" t="str">
        <f>VLOOKUP(AW13,'Team Hub'!$B$1:$F$65,5,false)</f>
        <v/>
      </c>
      <c r="AZ13" s="4" t="s">
        <v>69</v>
      </c>
    </row>
    <row r="14" ht="22.5" customHeight="1">
      <c r="A14" s="4" t="s">
        <v>118</v>
      </c>
      <c r="B14" s="2">
        <f t="shared" ref="B14:C14" si="13">sum(E14+H14+K14+N14+Q14+T14+W14+Z14+AC14+AF14+AI14+AL14+AO14+AR14+AU14+AX14)</f>
        <v>2700</v>
      </c>
      <c r="C14" s="2">
        <f t="shared" si="13"/>
        <v>0</v>
      </c>
      <c r="D14" s="5" t="s">
        <v>53</v>
      </c>
      <c r="E14" s="5">
        <f>VLOOKUP(D14,'Team Hub'!$B$1:$F$65,4,false)</f>
        <v>400</v>
      </c>
      <c r="F14" s="4" t="str">
        <f>VLOOKUP(D14,'Team Hub'!$B$1:$F$65,5,false)</f>
        <v/>
      </c>
      <c r="G14" s="5" t="s">
        <v>54</v>
      </c>
      <c r="H14" s="5">
        <f>VLOOKUP(G14,'Team Hub'!$B$1:$F$65,4,false)</f>
        <v>330</v>
      </c>
      <c r="I14" s="4" t="str">
        <f>VLOOKUP(G14,'Team Hub'!$B$1:$F$65,5,false)</f>
        <v/>
      </c>
      <c r="J14" s="5" t="s">
        <v>55</v>
      </c>
      <c r="K14" s="5">
        <f>VLOOKUP(J14,'Team Hub'!$B$1:$F$65,4,false)</f>
        <v>360</v>
      </c>
      <c r="L14" s="4" t="str">
        <f>VLOOKUP(J14,'Team Hub'!$B$1:$F$65,5,false)</f>
        <v/>
      </c>
      <c r="M14" s="5" t="s">
        <v>97</v>
      </c>
      <c r="N14" s="5">
        <f>VLOOKUP(M14,'Team Hub'!$B$1:$F$65,4,false)</f>
        <v>260</v>
      </c>
      <c r="O14" s="5" t="str">
        <f>VLOOKUP(M14,'Team Hub'!$B$1:$F$65,5,false)</f>
        <v/>
      </c>
      <c r="P14" s="5" t="s">
        <v>57</v>
      </c>
      <c r="Q14" s="5">
        <f>VLOOKUP(P14,'Team Hub'!$B$1:$F$65,4,false)</f>
        <v>280</v>
      </c>
      <c r="R14" s="5" t="str">
        <f>VLOOKUP(P14,'Team Hub'!$B$1:$F$65,5,false)</f>
        <v/>
      </c>
      <c r="S14" s="5" t="s">
        <v>92</v>
      </c>
      <c r="T14" s="5">
        <f>VLOOKUP(S14,'Team Hub'!$B$1:$F$65,4,false)</f>
        <v>150</v>
      </c>
      <c r="U14" s="5" t="str">
        <f>VLOOKUP(S14,'Team Hub'!$B$1:$F$65,5,false)</f>
        <v/>
      </c>
      <c r="V14" s="5" t="s">
        <v>93</v>
      </c>
      <c r="W14" s="5">
        <f>VLOOKUP(V14,'Team Hub'!$B$1:$F$65,4,false)</f>
        <v>160</v>
      </c>
      <c r="X14" s="5" t="str">
        <f>VLOOKUP(V14,'Team Hub'!$B$1:$F$65,5,false)</f>
        <v/>
      </c>
      <c r="Y14" s="5" t="s">
        <v>76</v>
      </c>
      <c r="Z14" s="5">
        <f>VLOOKUP(Y14,'Team Hub'!$B$1:$F$65,4,false)</f>
        <v>170</v>
      </c>
      <c r="AA14" s="4" t="str">
        <f>VLOOKUP(Y14,'Team Hub'!$B$1:$F$65,5,false)</f>
        <v/>
      </c>
      <c r="AB14" s="5" t="s">
        <v>114</v>
      </c>
      <c r="AC14" s="5">
        <f>VLOOKUP(AB14,'Team Hub'!$B$1:$F$65,4,false)</f>
        <v>0</v>
      </c>
      <c r="AD14" s="4" t="str">
        <f>VLOOKUP(AB14,'Team Hub'!$B$1:$F$65,5,false)</f>
        <v/>
      </c>
      <c r="AE14" s="5" t="s">
        <v>62</v>
      </c>
      <c r="AF14" s="5">
        <f>VLOOKUP(AE14,'Team Hub'!$B$1:$F$65,4,false)</f>
        <v>380</v>
      </c>
      <c r="AG14" s="4" t="str">
        <f>VLOOKUP(AE14,'Team Hub'!$B$1:$F$65,5,false)</f>
        <v/>
      </c>
      <c r="AH14" s="5" t="s">
        <v>116</v>
      </c>
      <c r="AI14" s="5">
        <f>VLOOKUP(AH14,'Team Hub'!$B$1:$F$65,4,false)</f>
        <v>0</v>
      </c>
      <c r="AJ14" s="4" t="str">
        <f>VLOOKUP(AH14,'Team Hub'!$B$1:$F$65,5,false)</f>
        <v/>
      </c>
      <c r="AK14" s="5" t="s">
        <v>64</v>
      </c>
      <c r="AL14" s="5">
        <f>VLOOKUP(AK14,'Team Hub'!$B$1:$F$65,4,false)</f>
        <v>210</v>
      </c>
      <c r="AM14" s="4" t="str">
        <f>VLOOKUP(AK14,'Team Hub'!$B$1:$F$65,5,false)</f>
        <v/>
      </c>
      <c r="AN14" s="5" t="s">
        <v>88</v>
      </c>
      <c r="AO14" s="5">
        <f>VLOOKUP(AN14,'Team Hub'!$B$1:$F$65,4,false)</f>
        <v>0</v>
      </c>
      <c r="AP14" s="4" t="str">
        <f>VLOOKUP(AN14,'Team Hub'!$B$1:$F$65,5,false)</f>
        <v/>
      </c>
      <c r="AQ14" s="5" t="s">
        <v>117</v>
      </c>
      <c r="AR14" s="5">
        <f>VLOOKUP(AQ14,'Team Hub'!$B$1:$F$65,4,false)</f>
        <v>0</v>
      </c>
      <c r="AS14" s="4" t="str">
        <f>VLOOKUP(AQ14,'Team Hub'!$B$1:$F$65,5,false)</f>
        <v/>
      </c>
      <c r="AT14" s="5" t="s">
        <v>105</v>
      </c>
      <c r="AU14" s="5">
        <f>VLOOKUP(AT14,'Team Hub'!$B$1:$F$65,4,false)</f>
        <v>0</v>
      </c>
      <c r="AV14" s="5" t="str">
        <f>VLOOKUP(AT14,'Team Hub'!$B$1:$F$65,5,false)</f>
        <v/>
      </c>
      <c r="AW14" s="5" t="s">
        <v>68</v>
      </c>
      <c r="AX14" s="5">
        <f>VLOOKUP(AW14,'Team Hub'!$B$1:$F$65,4,false)</f>
        <v>0</v>
      </c>
      <c r="AY14" s="4" t="str">
        <f>VLOOKUP(AW14,'Team Hub'!$B$1:$F$65,5,false)</f>
        <v/>
      </c>
      <c r="AZ14" s="4" t="s">
        <v>119</v>
      </c>
    </row>
    <row r="15" ht="22.5" customHeight="1">
      <c r="A15" s="4" t="s">
        <v>120</v>
      </c>
      <c r="B15" s="2">
        <f t="shared" ref="B15:C15" si="14">sum(E15+H15+K15+N15+Q15+T15+W15+Z15+AC15+AF15+AI15+AL15+AO15+AR15+AU15+AX15)</f>
        <v>2700</v>
      </c>
      <c r="C15" s="2">
        <f t="shared" si="14"/>
        <v>1</v>
      </c>
      <c r="D15" s="4" t="s">
        <v>71</v>
      </c>
      <c r="E15" s="4">
        <f>VLOOKUP(D15,'Team Hub'!$B$1:$F$65,4,false)</f>
        <v>600</v>
      </c>
      <c r="F15" s="4">
        <f>VLOOKUP(D15,'Team Hub'!$B$1:$F$65,5,false)</f>
        <v>1</v>
      </c>
      <c r="G15" s="5" t="s">
        <v>54</v>
      </c>
      <c r="H15" s="5">
        <f>VLOOKUP(G15,'Team Hub'!$B$1:$F$65,4,false)</f>
        <v>330</v>
      </c>
      <c r="I15" s="4" t="str">
        <f>VLOOKUP(G15,'Team Hub'!$B$1:$F$65,5,false)</f>
        <v/>
      </c>
      <c r="J15" s="5" t="s">
        <v>121</v>
      </c>
      <c r="K15" s="5">
        <f>VLOOKUP(J15,'Team Hub'!$B$1:$F$65,4,false)</f>
        <v>120</v>
      </c>
      <c r="L15" s="4" t="str">
        <f>VLOOKUP(J15,'Team Hub'!$B$1:$F$65,5,false)</f>
        <v/>
      </c>
      <c r="M15" s="5" t="s">
        <v>97</v>
      </c>
      <c r="N15" s="5">
        <f>VLOOKUP(M15,'Team Hub'!$B$1:$F$65,4,false)</f>
        <v>260</v>
      </c>
      <c r="O15" s="5" t="str">
        <f>VLOOKUP(M15,'Team Hub'!$B$1:$F$65,5,false)</f>
        <v/>
      </c>
      <c r="P15" s="5" t="s">
        <v>102</v>
      </c>
      <c r="Q15" s="5">
        <f>VLOOKUP(P15,'Team Hub'!$B$1:$F$65,4,false)</f>
        <v>140</v>
      </c>
      <c r="R15" s="5" t="str">
        <f>VLOOKUP(P15,'Team Hub'!$B$1:$F$65,5,false)</f>
        <v/>
      </c>
      <c r="S15" s="5" t="s">
        <v>92</v>
      </c>
      <c r="T15" s="5">
        <f>VLOOKUP(S15,'Team Hub'!$B$1:$F$65,4,false)</f>
        <v>150</v>
      </c>
      <c r="U15" s="5" t="str">
        <f>VLOOKUP(S15,'Team Hub'!$B$1:$F$65,5,false)</f>
        <v/>
      </c>
      <c r="V15" s="5" t="s">
        <v>93</v>
      </c>
      <c r="W15" s="5">
        <f>VLOOKUP(V15,'Team Hub'!$B$1:$F$65,4,false)</f>
        <v>160</v>
      </c>
      <c r="X15" s="5" t="str">
        <f>VLOOKUP(V15,'Team Hub'!$B$1:$F$65,5,false)</f>
        <v/>
      </c>
      <c r="Y15" s="5" t="s">
        <v>76</v>
      </c>
      <c r="Z15" s="5">
        <f>VLOOKUP(Y15,'Team Hub'!$B$1:$F$65,4,false)</f>
        <v>170</v>
      </c>
      <c r="AA15" s="4" t="str">
        <f>VLOOKUP(Y15,'Team Hub'!$B$1:$F$65,5,false)</f>
        <v/>
      </c>
      <c r="AB15" s="5" t="s">
        <v>61</v>
      </c>
      <c r="AC15" s="5">
        <f>VLOOKUP(AB15,'Team Hub'!$B$1:$F$65,4,false)</f>
        <v>180</v>
      </c>
      <c r="AD15" s="4" t="str">
        <f>VLOOKUP(AB15,'Team Hub'!$B$1:$F$65,5,false)</f>
        <v/>
      </c>
      <c r="AE15" s="5" t="s">
        <v>62</v>
      </c>
      <c r="AF15" s="5">
        <f>VLOOKUP(AE15,'Team Hub'!$B$1:$F$65,4,false)</f>
        <v>380</v>
      </c>
      <c r="AG15" s="4" t="str">
        <f>VLOOKUP(AE15,'Team Hub'!$B$1:$F$65,5,false)</f>
        <v/>
      </c>
      <c r="AH15" s="5" t="s">
        <v>116</v>
      </c>
      <c r="AI15" s="5">
        <f>VLOOKUP(AH15,'Team Hub'!$B$1:$F$65,4,false)</f>
        <v>0</v>
      </c>
      <c r="AJ15" s="4" t="str">
        <f>VLOOKUP(AH15,'Team Hub'!$B$1:$F$65,5,false)</f>
        <v/>
      </c>
      <c r="AK15" s="5" t="s">
        <v>87</v>
      </c>
      <c r="AL15" s="5">
        <f>VLOOKUP(AK15,'Team Hub'!$B$1:$F$65,4,false)</f>
        <v>210</v>
      </c>
      <c r="AM15" s="4" t="str">
        <f>VLOOKUP(AK15,'Team Hub'!$B$1:$F$65,5,false)</f>
        <v/>
      </c>
      <c r="AN15" s="5" t="s">
        <v>77</v>
      </c>
      <c r="AO15" s="5">
        <f>VLOOKUP(AN15,'Team Hub'!$B$1:$F$65,4,false)</f>
        <v>0</v>
      </c>
      <c r="AP15" s="4" t="str">
        <f>VLOOKUP(AN15,'Team Hub'!$B$1:$F$65,5,false)</f>
        <v/>
      </c>
      <c r="AQ15" s="5" t="s">
        <v>78</v>
      </c>
      <c r="AR15" s="5">
        <f>VLOOKUP(AQ15,'Team Hub'!$B$1:$F$65,4,false)</f>
        <v>0</v>
      </c>
      <c r="AS15" s="4" t="str">
        <f>VLOOKUP(AQ15,'Team Hub'!$B$1:$F$65,5,false)</f>
        <v/>
      </c>
      <c r="AT15" s="5" t="s">
        <v>67</v>
      </c>
      <c r="AU15" s="5">
        <f>VLOOKUP(AT15,'Team Hub'!$B$1:$F$65,4,false)</f>
        <v>0</v>
      </c>
      <c r="AV15" s="4" t="str">
        <f>VLOOKUP(AT15,'Team Hub'!$B$1:$F$65,5,false)</f>
        <v/>
      </c>
      <c r="AW15" s="5" t="s">
        <v>95</v>
      </c>
      <c r="AX15" s="5">
        <f>VLOOKUP(AW15,'Team Hub'!$B$1:$F$65,4,false)</f>
        <v>0</v>
      </c>
      <c r="AY15" s="4" t="str">
        <f>VLOOKUP(AW15,'Team Hub'!$B$1:$F$65,5,false)</f>
        <v/>
      </c>
      <c r="AZ15" s="4" t="s">
        <v>69</v>
      </c>
    </row>
    <row r="16" ht="22.5" customHeight="1">
      <c r="A16" s="4" t="s">
        <v>122</v>
      </c>
      <c r="B16" s="2">
        <f t="shared" ref="B16:C16" si="15">sum(E16+H16+K16+N16+Q16+T16+W16+Z16+AC16+AF16+AI16+AL16+AO16+AR16+AU16+AX16)</f>
        <v>2690</v>
      </c>
      <c r="C16" s="2">
        <f t="shared" si="15"/>
        <v>1</v>
      </c>
      <c r="D16" s="4" t="s">
        <v>71</v>
      </c>
      <c r="E16" s="4">
        <f>VLOOKUP(D16,'Team Hub'!$B$1:$F$65,4,false)</f>
        <v>600</v>
      </c>
      <c r="F16" s="4">
        <f>VLOOKUP(D16,'Team Hub'!$B$1:$F$65,5,false)</f>
        <v>1</v>
      </c>
      <c r="G16" s="5" t="s">
        <v>54</v>
      </c>
      <c r="H16" s="5">
        <f>VLOOKUP(G16,'Team Hub'!$B$1:$F$65,4,false)</f>
        <v>330</v>
      </c>
      <c r="I16" s="4" t="str">
        <f>VLOOKUP(G16,'Team Hub'!$B$1:$F$65,5,false)</f>
        <v/>
      </c>
      <c r="J16" s="5" t="s">
        <v>55</v>
      </c>
      <c r="K16" s="5">
        <f>VLOOKUP(J16,'Team Hub'!$B$1:$F$65,4,false)</f>
        <v>360</v>
      </c>
      <c r="L16" s="4" t="str">
        <f>VLOOKUP(J16,'Team Hub'!$B$1:$F$65,5,false)</f>
        <v/>
      </c>
      <c r="M16" s="5" t="s">
        <v>97</v>
      </c>
      <c r="N16" s="5">
        <f>VLOOKUP(M16,'Team Hub'!$B$1:$F$65,4,false)</f>
        <v>260</v>
      </c>
      <c r="O16" s="5" t="str">
        <f>VLOOKUP(M16,'Team Hub'!$B$1:$F$65,5,false)</f>
        <v/>
      </c>
      <c r="P16" s="5" t="s">
        <v>57</v>
      </c>
      <c r="Q16" s="5">
        <f>VLOOKUP(P16,'Team Hub'!$B$1:$F$65,4,false)</f>
        <v>280</v>
      </c>
      <c r="R16" s="5" t="str">
        <f>VLOOKUP(P16,'Team Hub'!$B$1:$F$65,5,false)</f>
        <v/>
      </c>
      <c r="S16" s="5" t="s">
        <v>82</v>
      </c>
      <c r="T16" s="5">
        <f>VLOOKUP(S16,'Team Hub'!$B$1:$F$65,4,false)</f>
        <v>300</v>
      </c>
      <c r="U16" s="5" t="str">
        <f>VLOOKUP(S16,'Team Hub'!$B$1:$F$65,5,false)</f>
        <v/>
      </c>
      <c r="V16" s="5" t="s">
        <v>75</v>
      </c>
      <c r="W16" s="5">
        <f>VLOOKUP(V16,'Team Hub'!$B$1:$F$65,4,false)</f>
        <v>0</v>
      </c>
      <c r="X16" s="5" t="str">
        <f>VLOOKUP(V16,'Team Hub'!$B$1:$F$65,5,false)</f>
        <v/>
      </c>
      <c r="Y16" s="5" t="s">
        <v>76</v>
      </c>
      <c r="Z16" s="5">
        <f>VLOOKUP(Y16,'Team Hub'!$B$1:$F$65,4,false)</f>
        <v>170</v>
      </c>
      <c r="AA16" s="4" t="str">
        <f>VLOOKUP(Y16,'Team Hub'!$B$1:$F$65,5,false)</f>
        <v/>
      </c>
      <c r="AB16" s="5" t="s">
        <v>61</v>
      </c>
      <c r="AC16" s="5">
        <f>VLOOKUP(AB16,'Team Hub'!$B$1:$F$65,4,false)</f>
        <v>180</v>
      </c>
      <c r="AD16" s="4" t="str">
        <f>VLOOKUP(AB16,'Team Hub'!$B$1:$F$65,5,false)</f>
        <v/>
      </c>
      <c r="AE16" s="5" t="s">
        <v>123</v>
      </c>
      <c r="AF16" s="5">
        <f>VLOOKUP(AE16,'Team Hub'!$B$1:$F$65,4,false)</f>
        <v>0</v>
      </c>
      <c r="AG16" s="4" t="str">
        <f>VLOOKUP(AE16,'Team Hub'!$B$1:$F$65,5,false)</f>
        <v/>
      </c>
      <c r="AH16" s="5" t="s">
        <v>98</v>
      </c>
      <c r="AI16" s="5">
        <f>VLOOKUP(AH16,'Team Hub'!$B$1:$F$65,4,false)</f>
        <v>0</v>
      </c>
      <c r="AJ16" s="4" t="str">
        <f>VLOOKUP(AH16,'Team Hub'!$B$1:$F$65,5,false)</f>
        <v/>
      </c>
      <c r="AK16" s="5" t="s">
        <v>64</v>
      </c>
      <c r="AL16" s="5">
        <f>VLOOKUP(AK16,'Team Hub'!$B$1:$F$65,4,false)</f>
        <v>210</v>
      </c>
      <c r="AM16" s="4" t="str">
        <f>VLOOKUP(AK16,'Team Hub'!$B$1:$F$65,5,false)</f>
        <v/>
      </c>
      <c r="AN16" s="5" t="s">
        <v>77</v>
      </c>
      <c r="AO16" s="5">
        <f>VLOOKUP(AN16,'Team Hub'!$B$1:$F$65,4,false)</f>
        <v>0</v>
      </c>
      <c r="AP16" s="4" t="str">
        <f>VLOOKUP(AN16,'Team Hub'!$B$1:$F$65,5,false)</f>
        <v/>
      </c>
      <c r="AQ16" s="5" t="s">
        <v>89</v>
      </c>
      <c r="AR16" s="5">
        <f>VLOOKUP(AQ16,'Team Hub'!$B$1:$F$65,4,false)</f>
        <v>0</v>
      </c>
      <c r="AS16" s="4" t="str">
        <f>VLOOKUP(AQ16,'Team Hub'!$B$1:$F$65,5,false)</f>
        <v/>
      </c>
      <c r="AT16" s="5" t="s">
        <v>79</v>
      </c>
      <c r="AU16" s="5">
        <f>VLOOKUP(AT16,'Team Hub'!$B$1:$F$65,4,false)</f>
        <v>0</v>
      </c>
      <c r="AV16" s="4" t="str">
        <f>VLOOKUP(AT16,'Team Hub'!$B$1:$F$65,5,false)</f>
        <v/>
      </c>
      <c r="AW16" s="5" t="s">
        <v>95</v>
      </c>
      <c r="AX16" s="5">
        <f>VLOOKUP(AW16,'Team Hub'!$B$1:$F$65,4,false)</f>
        <v>0</v>
      </c>
      <c r="AY16" s="4" t="str">
        <f>VLOOKUP(AW16,'Team Hub'!$B$1:$F$65,5,false)</f>
        <v/>
      </c>
      <c r="AZ16" s="4" t="s">
        <v>69</v>
      </c>
    </row>
    <row r="17" ht="22.5" customHeight="1">
      <c r="A17" s="4" t="s">
        <v>124</v>
      </c>
      <c r="B17" s="2">
        <f t="shared" ref="B17:C17" si="16">sum(E17+H17+K17+N17+Q17+T17+W17+Z17+AC17+AF17+AI17+AL17+AO17+AR17+AU17+AX17)</f>
        <v>2670</v>
      </c>
      <c r="C17" s="2">
        <f t="shared" si="16"/>
        <v>0</v>
      </c>
      <c r="D17" s="5" t="s">
        <v>125</v>
      </c>
      <c r="E17" s="5">
        <f>VLOOKUP(D17,'Team Hub'!$B$1:$F$65,4,false)</f>
        <v>500</v>
      </c>
      <c r="F17" s="4" t="str">
        <f>VLOOKUP(D17,'Team Hub'!$B$1:$F$65,5,false)</f>
        <v/>
      </c>
      <c r="G17" s="5" t="s">
        <v>54</v>
      </c>
      <c r="H17" s="5">
        <f>VLOOKUP(G17,'Team Hub'!$B$1:$F$65,4,false)</f>
        <v>330</v>
      </c>
      <c r="I17" s="4" t="str">
        <f>VLOOKUP(G17,'Team Hub'!$B$1:$F$65,5,false)</f>
        <v/>
      </c>
      <c r="J17" s="5" t="s">
        <v>55</v>
      </c>
      <c r="K17" s="5">
        <f>VLOOKUP(J17,'Team Hub'!$B$1:$F$65,4,false)</f>
        <v>360</v>
      </c>
      <c r="L17" s="4" t="str">
        <f>VLOOKUP(J17,'Team Hub'!$B$1:$F$65,5,false)</f>
        <v/>
      </c>
      <c r="M17" s="5" t="s">
        <v>97</v>
      </c>
      <c r="N17" s="5">
        <f>VLOOKUP(M17,'Team Hub'!$B$1:$F$65,4,false)</f>
        <v>260</v>
      </c>
      <c r="O17" s="5" t="str">
        <f>VLOOKUP(M17,'Team Hub'!$B$1:$F$65,5,false)</f>
        <v/>
      </c>
      <c r="P17" s="5" t="s">
        <v>102</v>
      </c>
      <c r="Q17" s="5">
        <f>VLOOKUP(P17,'Team Hub'!$B$1:$F$65,4,false)</f>
        <v>140</v>
      </c>
      <c r="R17" s="5" t="str">
        <f>VLOOKUP(P17,'Team Hub'!$B$1:$F$65,5,false)</f>
        <v/>
      </c>
      <c r="S17" s="5" t="s">
        <v>82</v>
      </c>
      <c r="T17" s="5">
        <f>VLOOKUP(S17,'Team Hub'!$B$1:$F$65,4,false)</f>
        <v>300</v>
      </c>
      <c r="U17" s="5" t="str">
        <f>VLOOKUP(S17,'Team Hub'!$B$1:$F$65,5,false)</f>
        <v/>
      </c>
      <c r="V17" s="5" t="s">
        <v>83</v>
      </c>
      <c r="W17" s="5">
        <f>VLOOKUP(V17,'Team Hub'!$B$1:$F$65,4,false)</f>
        <v>0</v>
      </c>
      <c r="X17" s="5" t="str">
        <f>VLOOKUP(V17,'Team Hub'!$B$1:$F$65,5,false)</f>
        <v/>
      </c>
      <c r="Y17" s="5" t="s">
        <v>126</v>
      </c>
      <c r="Z17" s="5">
        <f>VLOOKUP(Y17,'Team Hub'!$B$1:$F$65,4,false)</f>
        <v>0</v>
      </c>
      <c r="AA17" s="4" t="str">
        <f>VLOOKUP(Y17,'Team Hub'!$B$1:$F$65,5,false)</f>
        <v/>
      </c>
      <c r="AB17" s="5" t="s">
        <v>61</v>
      </c>
      <c r="AC17" s="5">
        <f>VLOOKUP(AB17,'Team Hub'!$B$1:$F$65,4,false)</f>
        <v>180</v>
      </c>
      <c r="AD17" s="4" t="str">
        <f>VLOOKUP(AB17,'Team Hub'!$B$1:$F$65,5,false)</f>
        <v/>
      </c>
      <c r="AE17" s="5" t="s">
        <v>85</v>
      </c>
      <c r="AF17" s="5">
        <f>VLOOKUP(AE17,'Team Hub'!$B$1:$F$65,4,false)</f>
        <v>190</v>
      </c>
      <c r="AG17" s="4" t="str">
        <f>VLOOKUP(AE17,'Team Hub'!$B$1:$F$65,5,false)</f>
        <v/>
      </c>
      <c r="AH17" s="5" t="s">
        <v>86</v>
      </c>
      <c r="AI17" s="5">
        <f>VLOOKUP(AH17,'Team Hub'!$B$1:$F$65,4,false)</f>
        <v>200</v>
      </c>
      <c r="AJ17" s="4" t="str">
        <f>VLOOKUP(AH17,'Team Hub'!$B$1:$F$65,5,false)</f>
        <v/>
      </c>
      <c r="AK17" s="5" t="s">
        <v>64</v>
      </c>
      <c r="AL17" s="5">
        <f>VLOOKUP(AK17,'Team Hub'!$B$1:$F$65,4,false)</f>
        <v>210</v>
      </c>
      <c r="AM17" s="4" t="str">
        <f>VLOOKUP(AK17,'Team Hub'!$B$1:$F$65,5,false)</f>
        <v/>
      </c>
      <c r="AN17" s="5" t="s">
        <v>88</v>
      </c>
      <c r="AO17" s="5">
        <f>VLOOKUP(AN17,'Team Hub'!$B$1:$F$65,4,false)</f>
        <v>0</v>
      </c>
      <c r="AP17" s="4" t="str">
        <f>VLOOKUP(AN17,'Team Hub'!$B$1:$F$65,5,false)</f>
        <v/>
      </c>
      <c r="AQ17" s="5" t="s">
        <v>89</v>
      </c>
      <c r="AR17" s="5">
        <f>VLOOKUP(AQ17,'Team Hub'!$B$1:$F$65,4,false)</f>
        <v>0</v>
      </c>
      <c r="AS17" s="4" t="str">
        <f>VLOOKUP(AQ17,'Team Hub'!$B$1:$F$65,5,false)</f>
        <v/>
      </c>
      <c r="AT17" s="5" t="s">
        <v>67</v>
      </c>
      <c r="AU17" s="5">
        <f>VLOOKUP(AT17,'Team Hub'!$B$1:$F$65,4,false)</f>
        <v>0</v>
      </c>
      <c r="AV17" s="4" t="str">
        <f>VLOOKUP(AT17,'Team Hub'!$B$1:$F$65,5,false)</f>
        <v/>
      </c>
      <c r="AW17" s="5" t="s">
        <v>99</v>
      </c>
      <c r="AX17" s="5">
        <f>VLOOKUP(AW17,'Team Hub'!$B$1:$F$65,4,false)</f>
        <v>0</v>
      </c>
      <c r="AY17" s="4" t="str">
        <f>VLOOKUP(AW17,'Team Hub'!$B$1:$F$65,5,false)</f>
        <v/>
      </c>
      <c r="AZ17" s="4" t="s">
        <v>69</v>
      </c>
    </row>
    <row r="18" ht="22.5" customHeight="1">
      <c r="A18" s="4" t="s">
        <v>127</v>
      </c>
      <c r="B18" s="2">
        <f t="shared" ref="B18:C18" si="17">sum(E18+H18+K18+N18+Q18+T18+W18+Z18+AC18+AF18+AI18+AL18+AO18+AR18+AU18+AX18)</f>
        <v>2650</v>
      </c>
      <c r="C18" s="2">
        <f t="shared" si="17"/>
        <v>0</v>
      </c>
      <c r="D18" s="5" t="s">
        <v>53</v>
      </c>
      <c r="E18" s="5">
        <f>VLOOKUP(D18,'Team Hub'!$B$1:$F$65,4,false)</f>
        <v>400</v>
      </c>
      <c r="F18" s="4" t="str">
        <f>VLOOKUP(D18,'Team Hub'!$B$1:$F$65,5,false)</f>
        <v/>
      </c>
      <c r="G18" s="5" t="s">
        <v>54</v>
      </c>
      <c r="H18" s="5">
        <f>VLOOKUP(G18,'Team Hub'!$B$1:$F$65,4,false)</f>
        <v>330</v>
      </c>
      <c r="I18" s="4" t="str">
        <f>VLOOKUP(G18,'Team Hub'!$B$1:$F$65,5,false)</f>
        <v/>
      </c>
      <c r="J18" s="5" t="s">
        <v>121</v>
      </c>
      <c r="K18" s="5">
        <f>VLOOKUP(J18,'Team Hub'!$B$1:$F$65,4,false)</f>
        <v>120</v>
      </c>
      <c r="L18" s="4" t="str">
        <f>VLOOKUP(J18,'Team Hub'!$B$1:$F$65,5,false)</f>
        <v/>
      </c>
      <c r="M18" s="5" t="s">
        <v>74</v>
      </c>
      <c r="N18" s="5">
        <f>VLOOKUP(M18,'Team Hub'!$B$1:$F$65,4,false)</f>
        <v>260</v>
      </c>
      <c r="O18" s="5" t="str">
        <f>VLOOKUP(M18,'Team Hub'!$B$1:$F$65,5,false)</f>
        <v/>
      </c>
      <c r="P18" s="5" t="s">
        <v>102</v>
      </c>
      <c r="Q18" s="5">
        <f>VLOOKUP(P18,'Team Hub'!$B$1:$F$65,4,false)</f>
        <v>140</v>
      </c>
      <c r="R18" s="5" t="str">
        <f>VLOOKUP(P18,'Team Hub'!$B$1:$F$65,5,false)</f>
        <v/>
      </c>
      <c r="S18" s="5" t="s">
        <v>58</v>
      </c>
      <c r="T18" s="5">
        <f>VLOOKUP(S18,'Team Hub'!$B$1:$F$65,4,false)</f>
        <v>300</v>
      </c>
      <c r="U18" s="5" t="str">
        <f>VLOOKUP(S18,'Team Hub'!$B$1:$F$65,5,false)</f>
        <v/>
      </c>
      <c r="V18" s="5" t="s">
        <v>59</v>
      </c>
      <c r="W18" s="5">
        <f>VLOOKUP(V18,'Team Hub'!$B$1:$F$65,4,false)</f>
        <v>160</v>
      </c>
      <c r="X18" s="5" t="str">
        <f>VLOOKUP(V18,'Team Hub'!$B$1:$F$65,5,false)</f>
        <v/>
      </c>
      <c r="Y18" s="5" t="s">
        <v>76</v>
      </c>
      <c r="Z18" s="5">
        <f>VLOOKUP(Y18,'Team Hub'!$B$1:$F$65,4,false)</f>
        <v>170</v>
      </c>
      <c r="AA18" s="4" t="str">
        <f>VLOOKUP(Y18,'Team Hub'!$B$1:$F$65,5,false)</f>
        <v/>
      </c>
      <c r="AB18" s="5" t="s">
        <v>61</v>
      </c>
      <c r="AC18" s="5">
        <f>VLOOKUP(AB18,'Team Hub'!$B$1:$F$65,4,false)</f>
        <v>180</v>
      </c>
      <c r="AD18" s="4" t="str">
        <f>VLOOKUP(AB18,'Team Hub'!$B$1:$F$65,5,false)</f>
        <v/>
      </c>
      <c r="AE18" s="5" t="s">
        <v>62</v>
      </c>
      <c r="AF18" s="5">
        <f>VLOOKUP(AE18,'Team Hub'!$B$1:$F$65,4,false)</f>
        <v>380</v>
      </c>
      <c r="AG18" s="4" t="str">
        <f>VLOOKUP(AE18,'Team Hub'!$B$1:$F$65,5,false)</f>
        <v/>
      </c>
      <c r="AH18" s="5" t="s">
        <v>63</v>
      </c>
      <c r="AI18" s="5">
        <f>VLOOKUP(AH18,'Team Hub'!$B$1:$F$65,4,false)</f>
        <v>0</v>
      </c>
      <c r="AJ18" s="4" t="str">
        <f>VLOOKUP(AH18,'Team Hub'!$B$1:$F$65,5,false)</f>
        <v/>
      </c>
      <c r="AK18" s="5" t="s">
        <v>64</v>
      </c>
      <c r="AL18" s="5">
        <f>VLOOKUP(AK18,'Team Hub'!$B$1:$F$65,4,false)</f>
        <v>210</v>
      </c>
      <c r="AM18" s="4" t="str">
        <f>VLOOKUP(AK18,'Team Hub'!$B$1:$F$65,5,false)</f>
        <v/>
      </c>
      <c r="AN18" s="5" t="s">
        <v>88</v>
      </c>
      <c r="AO18" s="5">
        <f>VLOOKUP(AN18,'Team Hub'!$B$1:$F$65,4,false)</f>
        <v>0</v>
      </c>
      <c r="AP18" s="4" t="str">
        <f>VLOOKUP(AN18,'Team Hub'!$B$1:$F$65,5,false)</f>
        <v/>
      </c>
      <c r="AQ18" s="5" t="s">
        <v>66</v>
      </c>
      <c r="AR18" s="5">
        <f>VLOOKUP(AQ18,'Team Hub'!$B$1:$F$65,4,false)</f>
        <v>0</v>
      </c>
      <c r="AS18" s="4" t="str">
        <f>VLOOKUP(AQ18,'Team Hub'!$B$1:$F$65,5,false)</f>
        <v/>
      </c>
      <c r="AT18" s="5" t="s">
        <v>79</v>
      </c>
      <c r="AU18" s="5">
        <f>VLOOKUP(AT18,'Team Hub'!$B$1:$F$65,4,false)</f>
        <v>0</v>
      </c>
      <c r="AV18" s="4" t="str">
        <f>VLOOKUP(AT18,'Team Hub'!$B$1:$F$65,5,false)</f>
        <v/>
      </c>
      <c r="AW18" s="5" t="s">
        <v>68</v>
      </c>
      <c r="AX18" s="5">
        <f>VLOOKUP(AW18,'Team Hub'!$B$1:$F$65,4,false)</f>
        <v>0</v>
      </c>
      <c r="AY18" s="4" t="str">
        <f>VLOOKUP(AW18,'Team Hub'!$B$1:$F$65,5,false)</f>
        <v/>
      </c>
      <c r="AZ18" s="4" t="s">
        <v>69</v>
      </c>
    </row>
    <row r="19" ht="22.5" customHeight="1">
      <c r="A19" s="4" t="s">
        <v>128</v>
      </c>
      <c r="B19" s="2">
        <f t="shared" ref="B19:C19" si="18">sum(E19+H19+K19+N19+Q19+T19+W19+Z19+AC19+AF19+AI19+AL19+AO19+AR19+AU19+AX19)</f>
        <v>2640</v>
      </c>
      <c r="C19" s="2">
        <f t="shared" si="18"/>
        <v>0</v>
      </c>
      <c r="D19" s="5" t="s">
        <v>125</v>
      </c>
      <c r="E19" s="5">
        <f>VLOOKUP(D19,'Team Hub'!$B$1:$F$65,4,false)</f>
        <v>500</v>
      </c>
      <c r="F19" s="4" t="str">
        <f>VLOOKUP(D19,'Team Hub'!$B$1:$F$65,5,false)</f>
        <v/>
      </c>
      <c r="G19" s="5" t="s">
        <v>54</v>
      </c>
      <c r="H19" s="5">
        <f>VLOOKUP(G19,'Team Hub'!$B$1:$F$65,4,false)</f>
        <v>330</v>
      </c>
      <c r="I19" s="4" t="str">
        <f>VLOOKUP(G19,'Team Hub'!$B$1:$F$65,5,false)</f>
        <v/>
      </c>
      <c r="J19" s="5" t="s">
        <v>73</v>
      </c>
      <c r="K19" s="5">
        <f>VLOOKUP(J19,'Team Hub'!$B$1:$F$65,4,false)</f>
        <v>240</v>
      </c>
      <c r="L19" s="4" t="str">
        <f>VLOOKUP(J19,'Team Hub'!$B$1:$F$65,5,false)</f>
        <v/>
      </c>
      <c r="M19" s="5" t="s">
        <v>74</v>
      </c>
      <c r="N19" s="5">
        <f>VLOOKUP(M19,'Team Hub'!$B$1:$F$65,4,false)</f>
        <v>260</v>
      </c>
      <c r="O19" s="5" t="str">
        <f>VLOOKUP(M19,'Team Hub'!$B$1:$F$65,5,false)</f>
        <v/>
      </c>
      <c r="P19" s="5" t="s">
        <v>57</v>
      </c>
      <c r="Q19" s="5">
        <f>VLOOKUP(P19,'Team Hub'!$B$1:$F$65,4,false)</f>
        <v>280</v>
      </c>
      <c r="R19" s="5" t="str">
        <f>VLOOKUP(P19,'Team Hub'!$B$1:$F$65,5,false)</f>
        <v/>
      </c>
      <c r="S19" s="5" t="s">
        <v>82</v>
      </c>
      <c r="T19" s="5">
        <f>VLOOKUP(S19,'Team Hub'!$B$1:$F$65,4,false)</f>
        <v>300</v>
      </c>
      <c r="U19" s="5" t="str">
        <f>VLOOKUP(S19,'Team Hub'!$B$1:$F$65,5,false)</f>
        <v/>
      </c>
      <c r="V19" s="5" t="s">
        <v>75</v>
      </c>
      <c r="W19" s="5">
        <f>VLOOKUP(V19,'Team Hub'!$B$1:$F$65,4,false)</f>
        <v>0</v>
      </c>
      <c r="X19" s="5" t="str">
        <f>VLOOKUP(V19,'Team Hub'!$B$1:$F$65,5,false)</f>
        <v/>
      </c>
      <c r="Y19" s="5" t="s">
        <v>76</v>
      </c>
      <c r="Z19" s="5">
        <f>VLOOKUP(Y19,'Team Hub'!$B$1:$F$65,4,false)</f>
        <v>170</v>
      </c>
      <c r="AA19" s="4" t="str">
        <f>VLOOKUP(Y19,'Team Hub'!$B$1:$F$65,5,false)</f>
        <v/>
      </c>
      <c r="AB19" s="5" t="s">
        <v>61</v>
      </c>
      <c r="AC19" s="5">
        <f>VLOOKUP(AB19,'Team Hub'!$B$1:$F$65,4,false)</f>
        <v>180</v>
      </c>
      <c r="AD19" s="4" t="str">
        <f>VLOOKUP(AB19,'Team Hub'!$B$1:$F$65,5,false)</f>
        <v/>
      </c>
      <c r="AE19" s="5" t="s">
        <v>62</v>
      </c>
      <c r="AF19" s="5">
        <f>VLOOKUP(AE19,'Team Hub'!$B$1:$F$65,4,false)</f>
        <v>380</v>
      </c>
      <c r="AG19" s="4" t="str">
        <f>VLOOKUP(AE19,'Team Hub'!$B$1:$F$65,5,false)</f>
        <v/>
      </c>
      <c r="AH19" s="5" t="s">
        <v>98</v>
      </c>
      <c r="AI19" s="5">
        <f>VLOOKUP(AH19,'Team Hub'!$B$1:$F$65,4,false)</f>
        <v>0</v>
      </c>
      <c r="AJ19" s="4" t="str">
        <f>VLOOKUP(AH19,'Team Hub'!$B$1:$F$65,5,false)</f>
        <v/>
      </c>
      <c r="AK19" s="5" t="s">
        <v>107</v>
      </c>
      <c r="AL19" s="5">
        <f>VLOOKUP(AK19,'Team Hub'!$B$1:$F$65,4,false)</f>
        <v>0</v>
      </c>
      <c r="AM19" s="4" t="str">
        <f>VLOOKUP(AK19,'Team Hub'!$B$1:$F$65,5,false)</f>
        <v/>
      </c>
      <c r="AN19" s="5" t="s">
        <v>88</v>
      </c>
      <c r="AO19" s="5">
        <f>VLOOKUP(AN19,'Team Hub'!$B$1:$F$65,4,false)</f>
        <v>0</v>
      </c>
      <c r="AP19" s="4" t="str">
        <f>VLOOKUP(AN19,'Team Hub'!$B$1:$F$65,5,false)</f>
        <v/>
      </c>
      <c r="AQ19" s="5" t="s">
        <v>66</v>
      </c>
      <c r="AR19" s="5">
        <f>VLOOKUP(AQ19,'Team Hub'!$B$1:$F$65,4,false)</f>
        <v>0</v>
      </c>
      <c r="AS19" s="4" t="str">
        <f>VLOOKUP(AQ19,'Team Hub'!$B$1:$F$65,5,false)</f>
        <v/>
      </c>
      <c r="AT19" s="5" t="s">
        <v>129</v>
      </c>
      <c r="AU19" s="5">
        <f>VLOOKUP(AT19,'Team Hub'!$B$1:$F$65,4,false)</f>
        <v>0</v>
      </c>
      <c r="AV19" s="4" t="str">
        <f>VLOOKUP(AT19,'Team Hub'!$B$1:$F$65,5,false)</f>
        <v/>
      </c>
      <c r="AW19" s="5" t="s">
        <v>95</v>
      </c>
      <c r="AX19" s="5">
        <f>VLOOKUP(AW19,'Team Hub'!$B$1:$F$65,4,false)</f>
        <v>0</v>
      </c>
      <c r="AY19" s="4" t="str">
        <f>VLOOKUP(AW19,'Team Hub'!$B$1:$F$65,5,false)</f>
        <v/>
      </c>
      <c r="AZ19" s="4" t="s">
        <v>69</v>
      </c>
    </row>
    <row r="20" ht="22.5" customHeight="1">
      <c r="A20" s="4" t="s">
        <v>130</v>
      </c>
      <c r="B20" s="2">
        <f t="shared" ref="B20:C20" si="19">sum(E20+H20+K20+N20+Q20+T20+W20+Z20+AC20+AF20+AI20+AL20+AO20+AR20+AU20+AX20)</f>
        <v>2620</v>
      </c>
      <c r="C20" s="2">
        <f t="shared" si="19"/>
        <v>0</v>
      </c>
      <c r="D20" s="5" t="s">
        <v>53</v>
      </c>
      <c r="E20" s="5">
        <f>VLOOKUP(D20,'Team Hub'!$B$1:$F$65,4,false)</f>
        <v>400</v>
      </c>
      <c r="F20" s="4" t="str">
        <f>VLOOKUP(D20,'Team Hub'!$B$1:$F$65,5,false)</f>
        <v/>
      </c>
      <c r="G20" s="5" t="s">
        <v>72</v>
      </c>
      <c r="H20" s="5">
        <f>VLOOKUP(G20,'Team Hub'!$B$1:$F$65,4,false)</f>
        <v>330</v>
      </c>
      <c r="I20" s="5" t="str">
        <f>VLOOKUP(G20,'Team Hub'!$B$1:$F$65,5,false)</f>
        <v/>
      </c>
      <c r="J20" s="5" t="s">
        <v>101</v>
      </c>
      <c r="K20" s="5">
        <f>VLOOKUP(J20,'Team Hub'!$B$1:$F$65,4,false)</f>
        <v>120</v>
      </c>
      <c r="L20" s="4" t="str">
        <f>VLOOKUP(J20,'Team Hub'!$B$1:$F$65,5,false)</f>
        <v/>
      </c>
      <c r="M20" s="5" t="s">
        <v>56</v>
      </c>
      <c r="N20" s="5">
        <f>VLOOKUP(M20,'Team Hub'!$B$1:$F$65,4,false)</f>
        <v>260</v>
      </c>
      <c r="O20" s="5" t="str">
        <f>VLOOKUP(M20,'Team Hub'!$B$1:$F$65,5,false)</f>
        <v/>
      </c>
      <c r="P20" s="5" t="s">
        <v>57</v>
      </c>
      <c r="Q20" s="5">
        <f>VLOOKUP(P20,'Team Hub'!$B$1:$F$65,4,false)</f>
        <v>280</v>
      </c>
      <c r="R20" s="5" t="str">
        <f>VLOOKUP(P20,'Team Hub'!$B$1:$F$65,5,false)</f>
        <v/>
      </c>
      <c r="S20" s="5" t="s">
        <v>58</v>
      </c>
      <c r="T20" s="5">
        <f>VLOOKUP(S20,'Team Hub'!$B$1:$F$65,4,false)</f>
        <v>300</v>
      </c>
      <c r="U20" s="5" t="str">
        <f>VLOOKUP(S20,'Team Hub'!$B$1:$F$65,5,false)</f>
        <v/>
      </c>
      <c r="V20" s="5" t="s">
        <v>75</v>
      </c>
      <c r="W20" s="5">
        <f>VLOOKUP(V20,'Team Hub'!$B$1:$F$65,4,false)</f>
        <v>0</v>
      </c>
      <c r="X20" s="5" t="str">
        <f>VLOOKUP(V20,'Team Hub'!$B$1:$F$65,5,false)</f>
        <v/>
      </c>
      <c r="Y20" s="5" t="s">
        <v>76</v>
      </c>
      <c r="Z20" s="5">
        <f>VLOOKUP(Y20,'Team Hub'!$B$1:$F$65,4,false)</f>
        <v>170</v>
      </c>
      <c r="AA20" s="4" t="str">
        <f>VLOOKUP(Y20,'Team Hub'!$B$1:$F$65,5,false)</f>
        <v/>
      </c>
      <c r="AB20" s="5" t="s">
        <v>61</v>
      </c>
      <c r="AC20" s="5">
        <f>VLOOKUP(AB20,'Team Hub'!$B$1:$F$65,4,false)</f>
        <v>180</v>
      </c>
      <c r="AD20" s="4" t="str">
        <f>VLOOKUP(AB20,'Team Hub'!$B$1:$F$65,5,false)</f>
        <v/>
      </c>
      <c r="AE20" s="5" t="s">
        <v>62</v>
      </c>
      <c r="AF20" s="5">
        <f>VLOOKUP(AE20,'Team Hub'!$B$1:$F$65,4,false)</f>
        <v>380</v>
      </c>
      <c r="AG20" s="4" t="str">
        <f>VLOOKUP(AE20,'Team Hub'!$B$1:$F$65,5,false)</f>
        <v/>
      </c>
      <c r="AH20" s="5" t="s">
        <v>86</v>
      </c>
      <c r="AI20" s="5">
        <f>VLOOKUP(AH20,'Team Hub'!$B$1:$F$65,4,false)</f>
        <v>200</v>
      </c>
      <c r="AJ20" s="4" t="str">
        <f>VLOOKUP(AH20,'Team Hub'!$B$1:$F$65,5,false)</f>
        <v/>
      </c>
      <c r="AK20" s="5" t="s">
        <v>107</v>
      </c>
      <c r="AL20" s="5">
        <f>VLOOKUP(AK20,'Team Hub'!$B$1:$F$65,4,false)</f>
        <v>0</v>
      </c>
      <c r="AM20" s="4" t="str">
        <f>VLOOKUP(AK20,'Team Hub'!$B$1:$F$65,5,false)</f>
        <v/>
      </c>
      <c r="AN20" s="5" t="s">
        <v>88</v>
      </c>
      <c r="AO20" s="5">
        <f>VLOOKUP(AN20,'Team Hub'!$B$1:$F$65,4,false)</f>
        <v>0</v>
      </c>
      <c r="AP20" s="4" t="str">
        <f>VLOOKUP(AN20,'Team Hub'!$B$1:$F$65,5,false)</f>
        <v/>
      </c>
      <c r="AQ20" s="5" t="s">
        <v>117</v>
      </c>
      <c r="AR20" s="5">
        <f>VLOOKUP(AQ20,'Team Hub'!$B$1:$F$65,4,false)</f>
        <v>0</v>
      </c>
      <c r="AS20" s="4" t="str">
        <f>VLOOKUP(AQ20,'Team Hub'!$B$1:$F$65,5,false)</f>
        <v/>
      </c>
      <c r="AT20" s="5" t="s">
        <v>105</v>
      </c>
      <c r="AU20" s="5">
        <f>VLOOKUP(AT20,'Team Hub'!$B$1:$F$65,4,false)</f>
        <v>0</v>
      </c>
      <c r="AV20" s="5" t="str">
        <f>VLOOKUP(AT20,'Team Hub'!$B$1:$F$65,5,false)</f>
        <v/>
      </c>
      <c r="AW20" s="5" t="s">
        <v>68</v>
      </c>
      <c r="AX20" s="5">
        <f>VLOOKUP(AW20,'Team Hub'!$B$1:$F$65,4,false)</f>
        <v>0</v>
      </c>
      <c r="AY20" s="4" t="str">
        <f>VLOOKUP(AW20,'Team Hub'!$B$1:$F$65,5,false)</f>
        <v/>
      </c>
      <c r="AZ20" s="4" t="s">
        <v>69</v>
      </c>
    </row>
    <row r="21" ht="22.5" customHeight="1">
      <c r="A21" s="4" t="s">
        <v>131</v>
      </c>
      <c r="B21" s="2">
        <f t="shared" ref="B21:C21" si="20">sum(E21+H21+K21+N21+Q21+T21+W21+Z21+AC21+AF21+AI21+AL21+AO21+AR21+AU21+AX21)</f>
        <v>2610</v>
      </c>
      <c r="C21" s="2">
        <f t="shared" si="20"/>
        <v>1</v>
      </c>
      <c r="D21" s="4" t="s">
        <v>71</v>
      </c>
      <c r="E21" s="4">
        <f>VLOOKUP(D21,'Team Hub'!$B$1:$F$65,4,false)</f>
        <v>600</v>
      </c>
      <c r="F21" s="4">
        <f>VLOOKUP(D21,'Team Hub'!$B$1:$F$65,5,false)</f>
        <v>1</v>
      </c>
      <c r="G21" s="5" t="s">
        <v>81</v>
      </c>
      <c r="H21" s="5">
        <f>VLOOKUP(G21,'Team Hub'!$B$1:$F$65,4,false)</f>
        <v>330</v>
      </c>
      <c r="I21" s="4" t="str">
        <f>VLOOKUP(G21,'Team Hub'!$B$1:$F$65,5,false)</f>
        <v/>
      </c>
      <c r="J21" s="5" t="s">
        <v>55</v>
      </c>
      <c r="K21" s="5">
        <f>VLOOKUP(J21,'Team Hub'!$B$1:$F$65,4,false)</f>
        <v>360</v>
      </c>
      <c r="L21" s="4" t="str">
        <f>VLOOKUP(J21,'Team Hub'!$B$1:$F$65,5,false)</f>
        <v/>
      </c>
      <c r="M21" s="5" t="s">
        <v>56</v>
      </c>
      <c r="N21" s="5">
        <f>VLOOKUP(M21,'Team Hub'!$B$1:$F$65,4,false)</f>
        <v>260</v>
      </c>
      <c r="O21" s="5" t="str">
        <f>VLOOKUP(M21,'Team Hub'!$B$1:$F$65,5,false)</f>
        <v/>
      </c>
      <c r="P21" s="5" t="s">
        <v>132</v>
      </c>
      <c r="Q21" s="5">
        <f>VLOOKUP(P21,'Team Hub'!$B$1:$F$65,4,false)</f>
        <v>0</v>
      </c>
      <c r="R21" s="5" t="str">
        <f>VLOOKUP(P21,'Team Hub'!$B$1:$F$65,5,false)</f>
        <v/>
      </c>
      <c r="S21" s="5" t="s">
        <v>92</v>
      </c>
      <c r="T21" s="5">
        <f>VLOOKUP(S21,'Team Hub'!$B$1:$F$65,4,false)</f>
        <v>150</v>
      </c>
      <c r="U21" s="5" t="str">
        <f>VLOOKUP(S21,'Team Hub'!$B$1:$F$65,5,false)</f>
        <v/>
      </c>
      <c r="V21" s="5" t="s">
        <v>93</v>
      </c>
      <c r="W21" s="5">
        <f>VLOOKUP(V21,'Team Hub'!$B$1:$F$65,4,false)</f>
        <v>160</v>
      </c>
      <c r="X21" s="5" t="str">
        <f>VLOOKUP(V21,'Team Hub'!$B$1:$F$65,5,false)</f>
        <v/>
      </c>
      <c r="Y21" s="5" t="s">
        <v>76</v>
      </c>
      <c r="Z21" s="5">
        <f>VLOOKUP(Y21,'Team Hub'!$B$1:$F$65,4,false)</f>
        <v>170</v>
      </c>
      <c r="AA21" s="4" t="str">
        <f>VLOOKUP(Y21,'Team Hub'!$B$1:$F$65,5,false)</f>
        <v/>
      </c>
      <c r="AB21" s="5" t="s">
        <v>61</v>
      </c>
      <c r="AC21" s="5">
        <f>VLOOKUP(AB21,'Team Hub'!$B$1:$F$65,4,false)</f>
        <v>180</v>
      </c>
      <c r="AD21" s="4" t="str">
        <f>VLOOKUP(AB21,'Team Hub'!$B$1:$F$65,5,false)</f>
        <v/>
      </c>
      <c r="AE21" s="5" t="s">
        <v>85</v>
      </c>
      <c r="AF21" s="5">
        <f>VLOOKUP(AE21,'Team Hub'!$B$1:$F$65,4,false)</f>
        <v>190</v>
      </c>
      <c r="AG21" s="4" t="str">
        <f>VLOOKUP(AE21,'Team Hub'!$B$1:$F$65,5,false)</f>
        <v/>
      </c>
      <c r="AH21" s="5" t="s">
        <v>116</v>
      </c>
      <c r="AI21" s="5">
        <f>VLOOKUP(AH21,'Team Hub'!$B$1:$F$65,4,false)</f>
        <v>0</v>
      </c>
      <c r="AJ21" s="4" t="str">
        <f>VLOOKUP(AH21,'Team Hub'!$B$1:$F$65,5,false)</f>
        <v/>
      </c>
      <c r="AK21" s="5" t="s">
        <v>64</v>
      </c>
      <c r="AL21" s="5">
        <f>VLOOKUP(AK21,'Team Hub'!$B$1:$F$65,4,false)</f>
        <v>210</v>
      </c>
      <c r="AM21" s="4" t="str">
        <f>VLOOKUP(AK21,'Team Hub'!$B$1:$F$65,5,false)</f>
        <v/>
      </c>
      <c r="AN21" s="5" t="s">
        <v>88</v>
      </c>
      <c r="AO21" s="5">
        <f>VLOOKUP(AN21,'Team Hub'!$B$1:$F$65,4,false)</f>
        <v>0</v>
      </c>
      <c r="AP21" s="4" t="str">
        <f>VLOOKUP(AN21,'Team Hub'!$B$1:$F$65,5,false)</f>
        <v/>
      </c>
      <c r="AQ21" s="5" t="s">
        <v>89</v>
      </c>
      <c r="AR21" s="5">
        <f>VLOOKUP(AQ21,'Team Hub'!$B$1:$F$65,4,false)</f>
        <v>0</v>
      </c>
      <c r="AS21" s="4" t="str">
        <f>VLOOKUP(AQ21,'Team Hub'!$B$1:$F$65,5,false)</f>
        <v/>
      </c>
      <c r="AT21" s="5" t="s">
        <v>79</v>
      </c>
      <c r="AU21" s="5">
        <f>VLOOKUP(AT21,'Team Hub'!$B$1:$F$65,4,false)</f>
        <v>0</v>
      </c>
      <c r="AV21" s="4" t="str">
        <f>VLOOKUP(AT21,'Team Hub'!$B$1:$F$65,5,false)</f>
        <v/>
      </c>
      <c r="AW21" s="5" t="s">
        <v>95</v>
      </c>
      <c r="AX21" s="5">
        <f>VLOOKUP(AW21,'Team Hub'!$B$1:$F$65,4,false)</f>
        <v>0</v>
      </c>
      <c r="AY21" s="4" t="str">
        <f>VLOOKUP(AW21,'Team Hub'!$B$1:$F$65,5,false)</f>
        <v/>
      </c>
      <c r="AZ21" s="4" t="s">
        <v>69</v>
      </c>
    </row>
    <row r="22" ht="22.5" customHeight="1">
      <c r="A22" s="4" t="s">
        <v>133</v>
      </c>
      <c r="B22" s="2">
        <f t="shared" ref="B22:C22" si="21">sum(E22+H22+K22+N22+Q22+T22+W22+Z22+AC22+AF22+AI22+AL22+AO22+AR22+AU22+AX22)</f>
        <v>2600</v>
      </c>
      <c r="C22" s="2">
        <f t="shared" si="21"/>
        <v>0</v>
      </c>
      <c r="D22" s="5" t="s">
        <v>53</v>
      </c>
      <c r="E22" s="5">
        <f>VLOOKUP(D22,'Team Hub'!$B$1:$F$65,4,false)</f>
        <v>400</v>
      </c>
      <c r="F22" s="4" t="str">
        <f>VLOOKUP(D22,'Team Hub'!$B$1:$F$65,5,false)</f>
        <v/>
      </c>
      <c r="G22" s="5" t="s">
        <v>81</v>
      </c>
      <c r="H22" s="5">
        <f>VLOOKUP(G22,'Team Hub'!$B$1:$F$65,4,false)</f>
        <v>330</v>
      </c>
      <c r="I22" s="4" t="str">
        <f>VLOOKUP(G22,'Team Hub'!$B$1:$F$65,5,false)</f>
        <v/>
      </c>
      <c r="J22" s="5" t="s">
        <v>73</v>
      </c>
      <c r="K22" s="5">
        <f>VLOOKUP(J22,'Team Hub'!$B$1:$F$65,4,false)</f>
        <v>240</v>
      </c>
      <c r="L22" s="4" t="str">
        <f>VLOOKUP(J22,'Team Hub'!$B$1:$F$65,5,false)</f>
        <v/>
      </c>
      <c r="M22" s="5" t="s">
        <v>97</v>
      </c>
      <c r="N22" s="5">
        <f>VLOOKUP(M22,'Team Hub'!$B$1:$F$65,4,false)</f>
        <v>260</v>
      </c>
      <c r="O22" s="5" t="str">
        <f>VLOOKUP(M22,'Team Hub'!$B$1:$F$65,5,false)</f>
        <v/>
      </c>
      <c r="P22" s="5" t="s">
        <v>57</v>
      </c>
      <c r="Q22" s="5">
        <f>VLOOKUP(P22,'Team Hub'!$B$1:$F$65,4,false)</f>
        <v>280</v>
      </c>
      <c r="R22" s="5" t="str">
        <f>VLOOKUP(P22,'Team Hub'!$B$1:$F$65,5,false)</f>
        <v/>
      </c>
      <c r="S22" s="5" t="s">
        <v>92</v>
      </c>
      <c r="T22" s="5">
        <f>VLOOKUP(S22,'Team Hub'!$B$1:$F$65,4,false)</f>
        <v>150</v>
      </c>
      <c r="U22" s="5" t="str">
        <f>VLOOKUP(S22,'Team Hub'!$B$1:$F$65,5,false)</f>
        <v/>
      </c>
      <c r="V22" s="5" t="s">
        <v>75</v>
      </c>
      <c r="W22" s="5">
        <f>VLOOKUP(V22,'Team Hub'!$B$1:$F$65,4,false)</f>
        <v>0</v>
      </c>
      <c r="X22" s="5" t="str">
        <f>VLOOKUP(V22,'Team Hub'!$B$1:$F$65,5,false)</f>
        <v/>
      </c>
      <c r="Y22" s="5" t="s">
        <v>76</v>
      </c>
      <c r="Z22" s="5">
        <f>VLOOKUP(Y22,'Team Hub'!$B$1:$F$65,4,false)</f>
        <v>170</v>
      </c>
      <c r="AA22" s="4" t="str">
        <f>VLOOKUP(Y22,'Team Hub'!$B$1:$F$65,5,false)</f>
        <v/>
      </c>
      <c r="AB22" s="5" t="s">
        <v>94</v>
      </c>
      <c r="AC22" s="5">
        <f>VLOOKUP(AB22,'Team Hub'!$B$1:$F$65,4,false)</f>
        <v>180</v>
      </c>
      <c r="AD22" s="4" t="str">
        <f>VLOOKUP(AB22,'Team Hub'!$B$1:$F$65,5,false)</f>
        <v/>
      </c>
      <c r="AE22" s="5" t="s">
        <v>62</v>
      </c>
      <c r="AF22" s="5">
        <f>VLOOKUP(AE22,'Team Hub'!$B$1:$F$65,4,false)</f>
        <v>380</v>
      </c>
      <c r="AG22" s="4" t="str">
        <f>VLOOKUP(AE22,'Team Hub'!$B$1:$F$65,5,false)</f>
        <v/>
      </c>
      <c r="AH22" s="5" t="s">
        <v>98</v>
      </c>
      <c r="AI22" s="5">
        <f>VLOOKUP(AH22,'Team Hub'!$B$1:$F$65,4,false)</f>
        <v>0</v>
      </c>
      <c r="AJ22" s="4" t="str">
        <f>VLOOKUP(AH22,'Team Hub'!$B$1:$F$65,5,false)</f>
        <v/>
      </c>
      <c r="AK22" s="5" t="s">
        <v>87</v>
      </c>
      <c r="AL22" s="5">
        <f>VLOOKUP(AK22,'Team Hub'!$B$1:$F$65,4,false)</f>
        <v>210</v>
      </c>
      <c r="AM22" s="4" t="str">
        <f>VLOOKUP(AK22,'Team Hub'!$B$1:$F$65,5,false)</f>
        <v/>
      </c>
      <c r="AN22" s="5" t="s">
        <v>110</v>
      </c>
      <c r="AO22" s="5">
        <f>VLOOKUP(AN22,'Team Hub'!$B$1:$F$65,4,false)</f>
        <v>0</v>
      </c>
      <c r="AP22" s="4" t="str">
        <f>VLOOKUP(AN22,'Team Hub'!$B$1:$F$65,5,false)</f>
        <v/>
      </c>
      <c r="AQ22" s="5" t="s">
        <v>89</v>
      </c>
      <c r="AR22" s="5">
        <f>VLOOKUP(AQ22,'Team Hub'!$B$1:$F$65,4,false)</f>
        <v>0</v>
      </c>
      <c r="AS22" s="4" t="str">
        <f>VLOOKUP(AQ22,'Team Hub'!$B$1:$F$65,5,false)</f>
        <v/>
      </c>
      <c r="AT22" s="5" t="s">
        <v>129</v>
      </c>
      <c r="AU22" s="5">
        <f>VLOOKUP(AT22,'Team Hub'!$B$1:$F$65,4,false)</f>
        <v>0</v>
      </c>
      <c r="AV22" s="4" t="str">
        <f>VLOOKUP(AT22,'Team Hub'!$B$1:$F$65,5,false)</f>
        <v/>
      </c>
      <c r="AW22" s="5" t="s">
        <v>68</v>
      </c>
      <c r="AX22" s="5">
        <f>VLOOKUP(AW22,'Team Hub'!$B$1:$F$65,4,false)</f>
        <v>0</v>
      </c>
      <c r="AY22" s="4" t="str">
        <f>VLOOKUP(AW22,'Team Hub'!$B$1:$F$65,5,false)</f>
        <v/>
      </c>
      <c r="AZ22" s="4" t="s">
        <v>69</v>
      </c>
    </row>
    <row r="23" ht="22.5" customHeight="1">
      <c r="A23" s="4" t="s">
        <v>134</v>
      </c>
      <c r="B23" s="2">
        <f t="shared" ref="B23:C23" si="22">sum(E23+H23+K23+N23+Q23+T23+W23+Z23+AC23+AF23+AI23+AL23+AO23+AR23+AU23+AX23)</f>
        <v>2590</v>
      </c>
      <c r="C23" s="2">
        <f t="shared" si="22"/>
        <v>1</v>
      </c>
      <c r="D23" s="4" t="s">
        <v>71</v>
      </c>
      <c r="E23" s="4">
        <f>VLOOKUP(D23,'Team Hub'!$B$1:$F$65,4,false)</f>
        <v>600</v>
      </c>
      <c r="F23" s="4">
        <f>VLOOKUP(D23,'Team Hub'!$B$1:$F$65,5,false)</f>
        <v>1</v>
      </c>
      <c r="G23" s="5" t="s">
        <v>72</v>
      </c>
      <c r="H23" s="5">
        <f>VLOOKUP(G23,'Team Hub'!$B$1:$F$65,4,false)</f>
        <v>330</v>
      </c>
      <c r="I23" s="5" t="str">
        <f>VLOOKUP(G23,'Team Hub'!$B$1:$F$65,5,false)</f>
        <v/>
      </c>
      <c r="J23" s="5" t="s">
        <v>55</v>
      </c>
      <c r="K23" s="5">
        <f>VLOOKUP(J23,'Team Hub'!$B$1:$F$65,4,false)</f>
        <v>360</v>
      </c>
      <c r="L23" s="4" t="str">
        <f>VLOOKUP(J23,'Team Hub'!$B$1:$F$65,5,false)</f>
        <v/>
      </c>
      <c r="M23" s="5" t="s">
        <v>97</v>
      </c>
      <c r="N23" s="5">
        <f>VLOOKUP(M23,'Team Hub'!$B$1:$F$65,4,false)</f>
        <v>260</v>
      </c>
      <c r="O23" s="5" t="str">
        <f>VLOOKUP(M23,'Team Hub'!$B$1:$F$65,5,false)</f>
        <v/>
      </c>
      <c r="P23" s="5" t="s">
        <v>132</v>
      </c>
      <c r="Q23" s="5">
        <f>VLOOKUP(P23,'Team Hub'!$B$1:$F$65,4,false)</f>
        <v>0</v>
      </c>
      <c r="R23" s="5" t="str">
        <f>VLOOKUP(P23,'Team Hub'!$B$1:$F$65,5,false)</f>
        <v/>
      </c>
      <c r="S23" s="5" t="s">
        <v>92</v>
      </c>
      <c r="T23" s="5">
        <f>VLOOKUP(S23,'Team Hub'!$B$1:$F$65,4,false)</f>
        <v>150</v>
      </c>
      <c r="U23" s="5" t="str">
        <f>VLOOKUP(S23,'Team Hub'!$B$1:$F$65,5,false)</f>
        <v/>
      </c>
      <c r="V23" s="5" t="s">
        <v>59</v>
      </c>
      <c r="W23" s="5">
        <f>VLOOKUP(V23,'Team Hub'!$B$1:$F$65,4,false)</f>
        <v>160</v>
      </c>
      <c r="X23" s="5" t="str">
        <f>VLOOKUP(V23,'Team Hub'!$B$1:$F$65,5,false)</f>
        <v/>
      </c>
      <c r="Y23" s="5" t="s">
        <v>76</v>
      </c>
      <c r="Z23" s="5">
        <f>VLOOKUP(Y23,'Team Hub'!$B$1:$F$65,4,false)</f>
        <v>170</v>
      </c>
      <c r="AA23" s="4" t="str">
        <f>VLOOKUP(Y23,'Team Hub'!$B$1:$F$65,5,false)</f>
        <v/>
      </c>
      <c r="AB23" s="5" t="s">
        <v>61</v>
      </c>
      <c r="AC23" s="5">
        <f>VLOOKUP(AB23,'Team Hub'!$B$1:$F$65,4,false)</f>
        <v>180</v>
      </c>
      <c r="AD23" s="4" t="str">
        <f>VLOOKUP(AB23,'Team Hub'!$B$1:$F$65,5,false)</f>
        <v/>
      </c>
      <c r="AE23" s="5" t="s">
        <v>62</v>
      </c>
      <c r="AF23" s="5">
        <f>VLOOKUP(AE23,'Team Hub'!$B$1:$F$65,4,false)</f>
        <v>380</v>
      </c>
      <c r="AG23" s="4" t="str">
        <f>VLOOKUP(AE23,'Team Hub'!$B$1:$F$65,5,false)</f>
        <v/>
      </c>
      <c r="AH23" s="5" t="s">
        <v>116</v>
      </c>
      <c r="AI23" s="5">
        <f>VLOOKUP(AH23,'Team Hub'!$B$1:$F$65,4,false)</f>
        <v>0</v>
      </c>
      <c r="AJ23" s="4" t="str">
        <f>VLOOKUP(AH23,'Team Hub'!$B$1:$F$65,5,false)</f>
        <v/>
      </c>
      <c r="AK23" s="5" t="s">
        <v>107</v>
      </c>
      <c r="AL23" s="5">
        <f>VLOOKUP(AK23,'Team Hub'!$B$1:$F$65,4,false)</f>
        <v>0</v>
      </c>
      <c r="AM23" s="4" t="str">
        <f>VLOOKUP(AK23,'Team Hub'!$B$1:$F$65,5,false)</f>
        <v/>
      </c>
      <c r="AN23" s="5" t="s">
        <v>88</v>
      </c>
      <c r="AO23" s="5">
        <f>VLOOKUP(AN23,'Team Hub'!$B$1:$F$65,4,false)</f>
        <v>0</v>
      </c>
      <c r="AP23" s="4" t="str">
        <f>VLOOKUP(AN23,'Team Hub'!$B$1:$F$65,5,false)</f>
        <v/>
      </c>
      <c r="AQ23" s="5" t="s">
        <v>89</v>
      </c>
      <c r="AR23" s="5">
        <f>VLOOKUP(AQ23,'Team Hub'!$B$1:$F$65,4,false)</f>
        <v>0</v>
      </c>
      <c r="AS23" s="4" t="str">
        <f>VLOOKUP(AQ23,'Team Hub'!$B$1:$F$65,5,false)</f>
        <v/>
      </c>
      <c r="AT23" s="5" t="s">
        <v>79</v>
      </c>
      <c r="AU23" s="5">
        <f>VLOOKUP(AT23,'Team Hub'!$B$1:$F$65,4,false)</f>
        <v>0</v>
      </c>
      <c r="AV23" s="4" t="str">
        <f>VLOOKUP(AT23,'Team Hub'!$B$1:$F$65,5,false)</f>
        <v/>
      </c>
      <c r="AW23" s="5" t="s">
        <v>95</v>
      </c>
      <c r="AX23" s="5">
        <f>VLOOKUP(AW23,'Team Hub'!$B$1:$F$65,4,false)</f>
        <v>0</v>
      </c>
      <c r="AY23" s="4" t="str">
        <f>VLOOKUP(AW23,'Team Hub'!$B$1:$F$65,5,false)</f>
        <v/>
      </c>
      <c r="AZ23" s="4" t="s">
        <v>69</v>
      </c>
    </row>
    <row r="24" ht="22.5" customHeight="1">
      <c r="A24" s="4" t="s">
        <v>135</v>
      </c>
      <c r="B24" s="2">
        <f t="shared" ref="B24:C24" si="23">sum(E24+H24+K24+N24+Q24+T24+W24+Z24+AC24+AF24+AI24+AL24+AO24+AR24+AU24+AX24)</f>
        <v>2590</v>
      </c>
      <c r="C24" s="2">
        <f t="shared" si="23"/>
        <v>0</v>
      </c>
      <c r="D24" s="5" t="s">
        <v>125</v>
      </c>
      <c r="E24" s="5">
        <f>VLOOKUP(D24,'Team Hub'!$B$1:$F$65,4,false)</f>
        <v>500</v>
      </c>
      <c r="F24" s="4" t="str">
        <f>VLOOKUP(D24,'Team Hub'!$B$1:$F$65,5,false)</f>
        <v/>
      </c>
      <c r="G24" s="5" t="s">
        <v>54</v>
      </c>
      <c r="H24" s="5">
        <f>VLOOKUP(G24,'Team Hub'!$B$1:$F$65,4,false)</f>
        <v>330</v>
      </c>
      <c r="I24" s="4" t="str">
        <f>VLOOKUP(G24,'Team Hub'!$B$1:$F$65,5,false)</f>
        <v/>
      </c>
      <c r="J24" s="5" t="s">
        <v>73</v>
      </c>
      <c r="K24" s="5">
        <f>VLOOKUP(J24,'Team Hub'!$B$1:$F$65,4,false)</f>
        <v>240</v>
      </c>
      <c r="L24" s="4" t="str">
        <f>VLOOKUP(J24,'Team Hub'!$B$1:$F$65,5,false)</f>
        <v/>
      </c>
      <c r="M24" s="5" t="s">
        <v>56</v>
      </c>
      <c r="N24" s="5">
        <f>VLOOKUP(M24,'Team Hub'!$B$1:$F$65,4,false)</f>
        <v>260</v>
      </c>
      <c r="O24" s="5" t="str">
        <f>VLOOKUP(M24,'Team Hub'!$B$1:$F$65,5,false)</f>
        <v/>
      </c>
      <c r="P24" s="5" t="s">
        <v>136</v>
      </c>
      <c r="Q24" s="5">
        <f>VLOOKUP(P24,'Team Hub'!$B$1:$F$65,4,false)</f>
        <v>0</v>
      </c>
      <c r="R24" s="5" t="str">
        <f>VLOOKUP(P24,'Team Hub'!$B$1:$F$65,5,false)</f>
        <v/>
      </c>
      <c r="S24" s="5" t="s">
        <v>92</v>
      </c>
      <c r="T24" s="5">
        <f>VLOOKUP(S24,'Team Hub'!$B$1:$F$65,4,false)</f>
        <v>150</v>
      </c>
      <c r="U24" s="5" t="str">
        <f>VLOOKUP(S24,'Team Hub'!$B$1:$F$65,5,false)</f>
        <v/>
      </c>
      <c r="V24" s="5" t="s">
        <v>59</v>
      </c>
      <c r="W24" s="5">
        <f>VLOOKUP(V24,'Team Hub'!$B$1:$F$65,4,false)</f>
        <v>160</v>
      </c>
      <c r="X24" s="5" t="str">
        <f>VLOOKUP(V24,'Team Hub'!$B$1:$F$65,5,false)</f>
        <v/>
      </c>
      <c r="Y24" s="5" t="s">
        <v>76</v>
      </c>
      <c r="Z24" s="5">
        <f>VLOOKUP(Y24,'Team Hub'!$B$1:$F$65,4,false)</f>
        <v>170</v>
      </c>
      <c r="AA24" s="4" t="str">
        <f>VLOOKUP(Y24,'Team Hub'!$B$1:$F$65,5,false)</f>
        <v/>
      </c>
      <c r="AB24" s="5" t="s">
        <v>61</v>
      </c>
      <c r="AC24" s="5">
        <f>VLOOKUP(AB24,'Team Hub'!$B$1:$F$65,4,false)</f>
        <v>180</v>
      </c>
      <c r="AD24" s="4" t="str">
        <f>VLOOKUP(AB24,'Team Hub'!$B$1:$F$65,5,false)</f>
        <v/>
      </c>
      <c r="AE24" s="5" t="s">
        <v>85</v>
      </c>
      <c r="AF24" s="5">
        <f>VLOOKUP(AE24,'Team Hub'!$B$1:$F$65,4,false)</f>
        <v>190</v>
      </c>
      <c r="AG24" s="4" t="str">
        <f>VLOOKUP(AE24,'Team Hub'!$B$1:$F$65,5,false)</f>
        <v/>
      </c>
      <c r="AH24" s="5" t="s">
        <v>86</v>
      </c>
      <c r="AI24" s="5">
        <f>VLOOKUP(AH24,'Team Hub'!$B$1:$F$65,4,false)</f>
        <v>200</v>
      </c>
      <c r="AJ24" s="4" t="str">
        <f>VLOOKUP(AH24,'Team Hub'!$B$1:$F$65,5,false)</f>
        <v/>
      </c>
      <c r="AK24" s="5" t="s">
        <v>87</v>
      </c>
      <c r="AL24" s="5">
        <f>VLOOKUP(AK24,'Team Hub'!$B$1:$F$65,4,false)</f>
        <v>210</v>
      </c>
      <c r="AM24" s="4" t="str">
        <f>VLOOKUP(AK24,'Team Hub'!$B$1:$F$65,5,false)</f>
        <v/>
      </c>
      <c r="AN24" s="5" t="s">
        <v>65</v>
      </c>
      <c r="AO24" s="5">
        <f>VLOOKUP(AN24,'Team Hub'!$B$1:$F$65,4,false)</f>
        <v>0</v>
      </c>
      <c r="AP24" s="4" t="str">
        <f>VLOOKUP(AN24,'Team Hub'!$B$1:$F$65,5,false)</f>
        <v/>
      </c>
      <c r="AQ24" s="5" t="s">
        <v>117</v>
      </c>
      <c r="AR24" s="5">
        <f>VLOOKUP(AQ24,'Team Hub'!$B$1:$F$65,4,false)</f>
        <v>0</v>
      </c>
      <c r="AS24" s="4" t="str">
        <f>VLOOKUP(AQ24,'Team Hub'!$B$1:$F$65,5,false)</f>
        <v/>
      </c>
      <c r="AT24" s="5" t="s">
        <v>129</v>
      </c>
      <c r="AU24" s="5">
        <f>VLOOKUP(AT24,'Team Hub'!$B$1:$F$65,4,false)</f>
        <v>0</v>
      </c>
      <c r="AV24" s="4" t="str">
        <f>VLOOKUP(AT24,'Team Hub'!$B$1:$F$65,5,false)</f>
        <v/>
      </c>
      <c r="AW24" s="5" t="s">
        <v>68</v>
      </c>
      <c r="AX24" s="5">
        <f>VLOOKUP(AW24,'Team Hub'!$B$1:$F$65,4,false)</f>
        <v>0</v>
      </c>
      <c r="AY24" s="4" t="str">
        <f>VLOOKUP(AW24,'Team Hub'!$B$1:$F$65,5,false)</f>
        <v/>
      </c>
      <c r="AZ24" s="4" t="s">
        <v>69</v>
      </c>
    </row>
    <row r="25" ht="22.5" customHeight="1">
      <c r="A25" s="4" t="s">
        <v>137</v>
      </c>
      <c r="B25" s="2">
        <f t="shared" ref="B25:C25" si="24">sum(E25+H25+K25+N25+Q25+T25+W25+Z25+AC25+AF25+AI25+AL25+AO25+AR25+AU25+AX25)</f>
        <v>2580</v>
      </c>
      <c r="C25" s="2">
        <f t="shared" si="24"/>
        <v>0</v>
      </c>
      <c r="D25" s="5" t="s">
        <v>91</v>
      </c>
      <c r="E25" s="5">
        <f>VLOOKUP(D25,'Team Hub'!$B$1:$F$65,4,false)</f>
        <v>400</v>
      </c>
      <c r="F25" s="4" t="str">
        <f>VLOOKUP(D25,'Team Hub'!$B$1:$F$65,5,false)</f>
        <v/>
      </c>
      <c r="G25" s="5" t="s">
        <v>54</v>
      </c>
      <c r="H25" s="5">
        <f>VLOOKUP(G25,'Team Hub'!$B$1:$F$65,4,false)</f>
        <v>330</v>
      </c>
      <c r="I25" s="4" t="str">
        <f>VLOOKUP(G25,'Team Hub'!$B$1:$F$65,5,false)</f>
        <v/>
      </c>
      <c r="J25" s="5" t="s">
        <v>55</v>
      </c>
      <c r="K25" s="5">
        <f>VLOOKUP(J25,'Team Hub'!$B$1:$F$65,4,false)</f>
        <v>360</v>
      </c>
      <c r="L25" s="4" t="str">
        <f>VLOOKUP(J25,'Team Hub'!$B$1:$F$65,5,false)</f>
        <v/>
      </c>
      <c r="M25" s="5" t="s">
        <v>56</v>
      </c>
      <c r="N25" s="5">
        <f>VLOOKUP(M25,'Team Hub'!$B$1:$F$65,4,false)</f>
        <v>260</v>
      </c>
      <c r="O25" s="5" t="str">
        <f>VLOOKUP(M25,'Team Hub'!$B$1:$F$65,5,false)</f>
        <v/>
      </c>
      <c r="P25" s="5" t="s">
        <v>132</v>
      </c>
      <c r="Q25" s="5">
        <f>VLOOKUP(P25,'Team Hub'!$B$1:$F$65,4,false)</f>
        <v>0</v>
      </c>
      <c r="R25" s="5" t="str">
        <f>VLOOKUP(P25,'Team Hub'!$B$1:$F$65,5,false)</f>
        <v/>
      </c>
      <c r="S25" s="5" t="s">
        <v>58</v>
      </c>
      <c r="T25" s="5">
        <f>VLOOKUP(S25,'Team Hub'!$B$1:$F$65,4,false)</f>
        <v>300</v>
      </c>
      <c r="U25" s="5" t="str">
        <f>VLOOKUP(S25,'Team Hub'!$B$1:$F$65,5,false)</f>
        <v/>
      </c>
      <c r="V25" s="5" t="s">
        <v>75</v>
      </c>
      <c r="W25" s="5">
        <f>VLOOKUP(V25,'Team Hub'!$B$1:$F$65,4,false)</f>
        <v>0</v>
      </c>
      <c r="X25" s="5" t="str">
        <f>VLOOKUP(V25,'Team Hub'!$B$1:$F$65,5,false)</f>
        <v/>
      </c>
      <c r="Y25" s="5" t="s">
        <v>60</v>
      </c>
      <c r="Z25" s="5">
        <f>VLOOKUP(Y25,'Team Hub'!$B$1:$F$65,4,false)</f>
        <v>170</v>
      </c>
      <c r="AA25" s="4" t="str">
        <f>VLOOKUP(Y25,'Team Hub'!$B$1:$F$65,5,false)</f>
        <v/>
      </c>
      <c r="AB25" s="5" t="s">
        <v>61</v>
      </c>
      <c r="AC25" s="5">
        <f>VLOOKUP(AB25,'Team Hub'!$B$1:$F$65,4,false)</f>
        <v>180</v>
      </c>
      <c r="AD25" s="4" t="str">
        <f>VLOOKUP(AB25,'Team Hub'!$B$1:$F$65,5,false)</f>
        <v/>
      </c>
      <c r="AE25" s="5" t="s">
        <v>62</v>
      </c>
      <c r="AF25" s="5">
        <f>VLOOKUP(AE25,'Team Hub'!$B$1:$F$65,4,false)</f>
        <v>380</v>
      </c>
      <c r="AG25" s="4" t="str">
        <f>VLOOKUP(AE25,'Team Hub'!$B$1:$F$65,5,false)</f>
        <v/>
      </c>
      <c r="AH25" s="5" t="s">
        <v>86</v>
      </c>
      <c r="AI25" s="5">
        <f>VLOOKUP(AH25,'Team Hub'!$B$1:$F$65,4,false)</f>
        <v>200</v>
      </c>
      <c r="AJ25" s="4" t="str">
        <f>VLOOKUP(AH25,'Team Hub'!$B$1:$F$65,5,false)</f>
        <v/>
      </c>
      <c r="AK25" s="5" t="s">
        <v>138</v>
      </c>
      <c r="AL25" s="5">
        <f>VLOOKUP(AK25,'Team Hub'!$B$1:$F$65,4,false)</f>
        <v>0</v>
      </c>
      <c r="AM25" s="4" t="str">
        <f>VLOOKUP(AK25,'Team Hub'!$B$1:$F$65,5,false)</f>
        <v/>
      </c>
      <c r="AN25" s="5" t="s">
        <v>88</v>
      </c>
      <c r="AO25" s="5">
        <f>VLOOKUP(AN25,'Team Hub'!$B$1:$F$65,4,false)</f>
        <v>0</v>
      </c>
      <c r="AP25" s="4" t="str">
        <f>VLOOKUP(AN25,'Team Hub'!$B$1:$F$65,5,false)</f>
        <v/>
      </c>
      <c r="AQ25" s="5" t="s">
        <v>89</v>
      </c>
      <c r="AR25" s="5">
        <f>VLOOKUP(AQ25,'Team Hub'!$B$1:$F$65,4,false)</f>
        <v>0</v>
      </c>
      <c r="AS25" s="4" t="str">
        <f>VLOOKUP(AQ25,'Team Hub'!$B$1:$F$65,5,false)</f>
        <v/>
      </c>
      <c r="AT25" s="5" t="s">
        <v>105</v>
      </c>
      <c r="AU25" s="5">
        <f>VLOOKUP(AT25,'Team Hub'!$B$1:$F$65,4,false)</f>
        <v>0</v>
      </c>
      <c r="AV25" s="5" t="str">
        <f>VLOOKUP(AT25,'Team Hub'!$B$1:$F$65,5,false)</f>
        <v/>
      </c>
      <c r="AW25" s="5" t="s">
        <v>95</v>
      </c>
      <c r="AX25" s="5">
        <f>VLOOKUP(AW25,'Team Hub'!$B$1:$F$65,4,false)</f>
        <v>0</v>
      </c>
      <c r="AY25" s="4" t="str">
        <f>VLOOKUP(AW25,'Team Hub'!$B$1:$F$65,5,false)</f>
        <v/>
      </c>
      <c r="AZ25" s="4" t="s">
        <v>69</v>
      </c>
    </row>
    <row r="26" ht="22.5" customHeight="1">
      <c r="A26" s="4" t="s">
        <v>139</v>
      </c>
      <c r="B26" s="2">
        <f t="shared" ref="B26:C26" si="25">sum(E26+H26+K26+N26+Q26+T26+W26+Z26+AC26+AF26+AI26+AL26+AO26+AR26+AU26+AX26)</f>
        <v>2580</v>
      </c>
      <c r="C26" s="2">
        <f t="shared" si="25"/>
        <v>0</v>
      </c>
      <c r="D26" s="5" t="s">
        <v>53</v>
      </c>
      <c r="E26" s="5">
        <f>VLOOKUP(D26,'Team Hub'!$B$1:$F$65,4,false)</f>
        <v>400</v>
      </c>
      <c r="F26" s="4" t="str">
        <f>VLOOKUP(D26,'Team Hub'!$B$1:$F$65,5,false)</f>
        <v/>
      </c>
      <c r="G26" s="5" t="s">
        <v>81</v>
      </c>
      <c r="H26" s="5">
        <f>VLOOKUP(G26,'Team Hub'!$B$1:$F$65,4,false)</f>
        <v>330</v>
      </c>
      <c r="I26" s="4" t="str">
        <f>VLOOKUP(G26,'Team Hub'!$B$1:$F$65,5,false)</f>
        <v/>
      </c>
      <c r="J26" s="5" t="s">
        <v>55</v>
      </c>
      <c r="K26" s="5">
        <f>VLOOKUP(J26,'Team Hub'!$B$1:$F$65,4,false)</f>
        <v>360</v>
      </c>
      <c r="L26" s="4" t="str">
        <f>VLOOKUP(J26,'Team Hub'!$B$1:$F$65,5,false)</f>
        <v/>
      </c>
      <c r="M26" s="5" t="s">
        <v>97</v>
      </c>
      <c r="N26" s="5">
        <f>VLOOKUP(M26,'Team Hub'!$B$1:$F$65,4,false)</f>
        <v>260</v>
      </c>
      <c r="O26" s="5" t="str">
        <f>VLOOKUP(M26,'Team Hub'!$B$1:$F$65,5,false)</f>
        <v/>
      </c>
      <c r="P26" s="5" t="s">
        <v>132</v>
      </c>
      <c r="Q26" s="5">
        <f>VLOOKUP(P26,'Team Hub'!$B$1:$F$65,4,false)</f>
        <v>0</v>
      </c>
      <c r="R26" s="5" t="str">
        <f>VLOOKUP(P26,'Team Hub'!$B$1:$F$65,5,false)</f>
        <v/>
      </c>
      <c r="S26" s="5" t="s">
        <v>82</v>
      </c>
      <c r="T26" s="5">
        <f>VLOOKUP(S26,'Team Hub'!$B$1:$F$65,4,false)</f>
        <v>300</v>
      </c>
      <c r="U26" s="5" t="str">
        <f>VLOOKUP(S26,'Team Hub'!$B$1:$F$65,5,false)</f>
        <v/>
      </c>
      <c r="V26" s="5" t="s">
        <v>59</v>
      </c>
      <c r="W26" s="5">
        <f>VLOOKUP(V26,'Team Hub'!$B$1:$F$65,4,false)</f>
        <v>160</v>
      </c>
      <c r="X26" s="5" t="str">
        <f>VLOOKUP(V26,'Team Hub'!$B$1:$F$65,5,false)</f>
        <v/>
      </c>
      <c r="Y26" s="5" t="s">
        <v>126</v>
      </c>
      <c r="Z26" s="5">
        <f>VLOOKUP(Y26,'Team Hub'!$B$1:$F$65,4,false)</f>
        <v>0</v>
      </c>
      <c r="AA26" s="4" t="str">
        <f>VLOOKUP(Y26,'Team Hub'!$B$1:$F$65,5,false)</f>
        <v/>
      </c>
      <c r="AB26" s="5" t="s">
        <v>94</v>
      </c>
      <c r="AC26" s="5">
        <f>VLOOKUP(AB26,'Team Hub'!$B$1:$F$65,4,false)</f>
        <v>180</v>
      </c>
      <c r="AD26" s="4" t="str">
        <f>VLOOKUP(AB26,'Team Hub'!$B$1:$F$65,5,false)</f>
        <v/>
      </c>
      <c r="AE26" s="5" t="s">
        <v>62</v>
      </c>
      <c r="AF26" s="5">
        <f>VLOOKUP(AE26,'Team Hub'!$B$1:$F$65,4,false)</f>
        <v>380</v>
      </c>
      <c r="AG26" s="4" t="str">
        <f>VLOOKUP(AE26,'Team Hub'!$B$1:$F$65,5,false)</f>
        <v/>
      </c>
      <c r="AH26" s="5" t="s">
        <v>116</v>
      </c>
      <c r="AI26" s="5">
        <f>VLOOKUP(AH26,'Team Hub'!$B$1:$F$65,4,false)</f>
        <v>0</v>
      </c>
      <c r="AJ26" s="4" t="str">
        <f>VLOOKUP(AH26,'Team Hub'!$B$1:$F$65,5,false)</f>
        <v/>
      </c>
      <c r="AK26" s="5" t="s">
        <v>64</v>
      </c>
      <c r="AL26" s="5">
        <f>VLOOKUP(AK26,'Team Hub'!$B$1:$F$65,4,false)</f>
        <v>210</v>
      </c>
      <c r="AM26" s="4" t="str">
        <f>VLOOKUP(AK26,'Team Hub'!$B$1:$F$65,5,false)</f>
        <v/>
      </c>
      <c r="AN26" s="5" t="s">
        <v>88</v>
      </c>
      <c r="AO26" s="5">
        <f>VLOOKUP(AN26,'Team Hub'!$B$1:$F$65,4,false)</f>
        <v>0</v>
      </c>
      <c r="AP26" s="4" t="str">
        <f>VLOOKUP(AN26,'Team Hub'!$B$1:$F$65,5,false)</f>
        <v/>
      </c>
      <c r="AQ26" s="5" t="s">
        <v>66</v>
      </c>
      <c r="AR26" s="5">
        <f>VLOOKUP(AQ26,'Team Hub'!$B$1:$F$65,4,false)</f>
        <v>0</v>
      </c>
      <c r="AS26" s="4" t="str">
        <f>VLOOKUP(AQ26,'Team Hub'!$B$1:$F$65,5,false)</f>
        <v/>
      </c>
      <c r="AT26" s="5" t="s">
        <v>129</v>
      </c>
      <c r="AU26" s="5">
        <f>VLOOKUP(AT26,'Team Hub'!$B$1:$F$65,4,false)</f>
        <v>0</v>
      </c>
      <c r="AV26" s="4" t="str">
        <f>VLOOKUP(AT26,'Team Hub'!$B$1:$F$65,5,false)</f>
        <v/>
      </c>
      <c r="AW26" s="5" t="s">
        <v>68</v>
      </c>
      <c r="AX26" s="5">
        <f>VLOOKUP(AW26,'Team Hub'!$B$1:$F$65,4,false)</f>
        <v>0</v>
      </c>
      <c r="AY26" s="4" t="str">
        <f>VLOOKUP(AW26,'Team Hub'!$B$1:$F$65,5,false)</f>
        <v/>
      </c>
      <c r="AZ26" s="4" t="s">
        <v>69</v>
      </c>
    </row>
    <row r="27" ht="22.5" customHeight="1">
      <c r="A27" s="4" t="s">
        <v>140</v>
      </c>
      <c r="B27" s="2">
        <f t="shared" ref="B27:C27" si="26">sum(E27+H27+K27+N27+Q27+T27+W27+Z27+AC27+AF27+AI27+AL27+AO27+AR27+AU27+AX27)</f>
        <v>2570</v>
      </c>
      <c r="C27" s="2">
        <f t="shared" si="26"/>
        <v>1</v>
      </c>
      <c r="D27" s="4" t="s">
        <v>71</v>
      </c>
      <c r="E27" s="4">
        <f>VLOOKUP(D27,'Team Hub'!$B$1:$F$65,4,false)</f>
        <v>600</v>
      </c>
      <c r="F27" s="4">
        <f>VLOOKUP(D27,'Team Hub'!$B$1:$F$65,5,false)</f>
        <v>1</v>
      </c>
      <c r="G27" s="5" t="s">
        <v>54</v>
      </c>
      <c r="H27" s="5">
        <f>VLOOKUP(G27,'Team Hub'!$B$1:$F$65,4,false)</f>
        <v>330</v>
      </c>
      <c r="I27" s="4" t="str">
        <f>VLOOKUP(G27,'Team Hub'!$B$1:$F$65,5,false)</f>
        <v/>
      </c>
      <c r="J27" s="5" t="s">
        <v>55</v>
      </c>
      <c r="K27" s="5">
        <f>VLOOKUP(J27,'Team Hub'!$B$1:$F$65,4,false)</f>
        <v>360</v>
      </c>
      <c r="L27" s="4" t="str">
        <f>VLOOKUP(J27,'Team Hub'!$B$1:$F$65,5,false)</f>
        <v/>
      </c>
      <c r="M27" s="5" t="s">
        <v>56</v>
      </c>
      <c r="N27" s="5">
        <f>VLOOKUP(M27,'Team Hub'!$B$1:$F$65,4,false)</f>
        <v>260</v>
      </c>
      <c r="O27" s="5" t="str">
        <f>VLOOKUP(M27,'Team Hub'!$B$1:$F$65,5,false)</f>
        <v/>
      </c>
      <c r="P27" s="5" t="s">
        <v>57</v>
      </c>
      <c r="Q27" s="5">
        <f>VLOOKUP(P27,'Team Hub'!$B$1:$F$65,4,false)</f>
        <v>280</v>
      </c>
      <c r="R27" s="5" t="str">
        <f>VLOOKUP(P27,'Team Hub'!$B$1:$F$65,5,false)</f>
        <v/>
      </c>
      <c r="S27" s="5" t="s">
        <v>113</v>
      </c>
      <c r="T27" s="5">
        <f>VLOOKUP(S27,'Team Hub'!$B$1:$F$65,4,false)</f>
        <v>0</v>
      </c>
      <c r="U27" s="5" t="str">
        <f>VLOOKUP(S27,'Team Hub'!$B$1:$F$65,5,false)</f>
        <v/>
      </c>
      <c r="V27" s="5" t="s">
        <v>93</v>
      </c>
      <c r="W27" s="5">
        <f>VLOOKUP(V27,'Team Hub'!$B$1:$F$65,4,false)</f>
        <v>160</v>
      </c>
      <c r="X27" s="5" t="str">
        <f>VLOOKUP(V27,'Team Hub'!$B$1:$F$65,5,false)</f>
        <v/>
      </c>
      <c r="Y27" s="5" t="s">
        <v>126</v>
      </c>
      <c r="Z27" s="5">
        <f>VLOOKUP(Y27,'Team Hub'!$B$1:$F$65,4,false)</f>
        <v>0</v>
      </c>
      <c r="AA27" s="4" t="str">
        <f>VLOOKUP(Y27,'Team Hub'!$B$1:$F$65,5,false)</f>
        <v/>
      </c>
      <c r="AB27" s="5" t="s">
        <v>61</v>
      </c>
      <c r="AC27" s="5">
        <f>VLOOKUP(AB27,'Team Hub'!$B$1:$F$65,4,false)</f>
        <v>180</v>
      </c>
      <c r="AD27" s="4" t="str">
        <f>VLOOKUP(AB27,'Team Hub'!$B$1:$F$65,5,false)</f>
        <v/>
      </c>
      <c r="AE27" s="5" t="s">
        <v>85</v>
      </c>
      <c r="AF27" s="5">
        <f>VLOOKUP(AE27,'Team Hub'!$B$1:$F$65,4,false)</f>
        <v>190</v>
      </c>
      <c r="AG27" s="4" t="str">
        <f>VLOOKUP(AE27,'Team Hub'!$B$1:$F$65,5,false)</f>
        <v/>
      </c>
      <c r="AH27" s="5" t="s">
        <v>116</v>
      </c>
      <c r="AI27" s="5">
        <f>VLOOKUP(AH27,'Team Hub'!$B$1:$F$65,4,false)</f>
        <v>0</v>
      </c>
      <c r="AJ27" s="4" t="str">
        <f>VLOOKUP(AH27,'Team Hub'!$B$1:$F$65,5,false)</f>
        <v/>
      </c>
      <c r="AK27" s="5" t="s">
        <v>87</v>
      </c>
      <c r="AL27" s="5">
        <f>VLOOKUP(AK27,'Team Hub'!$B$1:$F$65,4,false)</f>
        <v>210</v>
      </c>
      <c r="AM27" s="4" t="str">
        <f>VLOOKUP(AK27,'Team Hub'!$B$1:$F$65,5,false)</f>
        <v/>
      </c>
      <c r="AN27" s="5" t="s">
        <v>77</v>
      </c>
      <c r="AO27" s="5">
        <f>VLOOKUP(AN27,'Team Hub'!$B$1:$F$65,4,false)</f>
        <v>0</v>
      </c>
      <c r="AP27" s="4" t="str">
        <f>VLOOKUP(AN27,'Team Hub'!$B$1:$F$65,5,false)</f>
        <v/>
      </c>
      <c r="AQ27" s="5" t="s">
        <v>78</v>
      </c>
      <c r="AR27" s="5">
        <f>VLOOKUP(AQ27,'Team Hub'!$B$1:$F$65,4,false)</f>
        <v>0</v>
      </c>
      <c r="AS27" s="4" t="str">
        <f>VLOOKUP(AQ27,'Team Hub'!$B$1:$F$65,5,false)</f>
        <v/>
      </c>
      <c r="AT27" s="5" t="s">
        <v>79</v>
      </c>
      <c r="AU27" s="5">
        <f>VLOOKUP(AT27,'Team Hub'!$B$1:$F$65,4,false)</f>
        <v>0</v>
      </c>
      <c r="AV27" s="4" t="str">
        <f>VLOOKUP(AT27,'Team Hub'!$B$1:$F$65,5,false)</f>
        <v/>
      </c>
      <c r="AW27" s="5" t="s">
        <v>95</v>
      </c>
      <c r="AX27" s="5">
        <f>VLOOKUP(AW27,'Team Hub'!$B$1:$F$65,4,false)</f>
        <v>0</v>
      </c>
      <c r="AY27" s="4" t="str">
        <f>VLOOKUP(AW27,'Team Hub'!$B$1:$F$65,5,false)</f>
        <v/>
      </c>
      <c r="AZ27" s="4" t="s">
        <v>69</v>
      </c>
    </row>
    <row r="28" ht="22.5" customHeight="1">
      <c r="A28" s="4" t="s">
        <v>141</v>
      </c>
      <c r="B28" s="2">
        <f t="shared" ref="B28:C28" si="27">sum(E28+H28+K28+N28+Q28+T28+W28+Z28+AC28+AF28+AI28+AL28+AO28+AR28+AU28+AX28)</f>
        <v>2560</v>
      </c>
      <c r="C28" s="2">
        <f t="shared" si="27"/>
        <v>0</v>
      </c>
      <c r="D28" s="5" t="s">
        <v>125</v>
      </c>
      <c r="E28" s="5">
        <f>VLOOKUP(D28,'Team Hub'!$B$1:$F$65,4,false)</f>
        <v>500</v>
      </c>
      <c r="F28" s="4" t="str">
        <f>VLOOKUP(D28,'Team Hub'!$B$1:$F$65,5,false)</f>
        <v/>
      </c>
      <c r="G28" s="5" t="s">
        <v>72</v>
      </c>
      <c r="H28" s="5">
        <f>VLOOKUP(G28,'Team Hub'!$B$1:$F$65,4,false)</f>
        <v>330</v>
      </c>
      <c r="I28" s="5" t="str">
        <f>VLOOKUP(G28,'Team Hub'!$B$1:$F$65,5,false)</f>
        <v/>
      </c>
      <c r="J28" s="5" t="s">
        <v>55</v>
      </c>
      <c r="K28" s="5">
        <f>VLOOKUP(J28,'Team Hub'!$B$1:$F$65,4,false)</f>
        <v>360</v>
      </c>
      <c r="L28" s="4" t="str">
        <f>VLOOKUP(J28,'Team Hub'!$B$1:$F$65,5,false)</f>
        <v/>
      </c>
      <c r="M28" s="5" t="s">
        <v>142</v>
      </c>
      <c r="N28" s="5">
        <f>VLOOKUP(M28,'Team Hub'!$B$1:$F$65,4,false)</f>
        <v>130</v>
      </c>
      <c r="O28" s="5" t="str">
        <f>VLOOKUP(M28,'Team Hub'!$B$1:$F$65,5,false)</f>
        <v/>
      </c>
      <c r="P28" s="5" t="s">
        <v>136</v>
      </c>
      <c r="Q28" s="5">
        <f>VLOOKUP(P28,'Team Hub'!$B$1:$F$65,4,false)</f>
        <v>0</v>
      </c>
      <c r="R28" s="5" t="str">
        <f>VLOOKUP(P28,'Team Hub'!$B$1:$F$65,5,false)</f>
        <v/>
      </c>
      <c r="S28" s="5" t="s">
        <v>58</v>
      </c>
      <c r="T28" s="5">
        <f>VLOOKUP(S28,'Team Hub'!$B$1:$F$65,4,false)</f>
        <v>300</v>
      </c>
      <c r="U28" s="5" t="str">
        <f>VLOOKUP(S28,'Team Hub'!$B$1:$F$65,5,false)</f>
        <v/>
      </c>
      <c r="V28" s="5" t="s">
        <v>83</v>
      </c>
      <c r="W28" s="5">
        <f>VLOOKUP(V28,'Team Hub'!$B$1:$F$65,4,false)</f>
        <v>0</v>
      </c>
      <c r="X28" s="5" t="str">
        <f>VLOOKUP(V28,'Team Hub'!$B$1:$F$65,5,false)</f>
        <v/>
      </c>
      <c r="Y28" s="5" t="s">
        <v>76</v>
      </c>
      <c r="Z28" s="5">
        <f>VLOOKUP(Y28,'Team Hub'!$B$1:$F$65,4,false)</f>
        <v>170</v>
      </c>
      <c r="AA28" s="4" t="str">
        <f>VLOOKUP(Y28,'Team Hub'!$B$1:$F$65,5,false)</f>
        <v/>
      </c>
      <c r="AB28" s="5" t="s">
        <v>94</v>
      </c>
      <c r="AC28" s="5">
        <f>VLOOKUP(AB28,'Team Hub'!$B$1:$F$65,4,false)</f>
        <v>180</v>
      </c>
      <c r="AD28" s="4" t="str">
        <f>VLOOKUP(AB28,'Team Hub'!$B$1:$F$65,5,false)</f>
        <v/>
      </c>
      <c r="AE28" s="5" t="s">
        <v>62</v>
      </c>
      <c r="AF28" s="5">
        <f>VLOOKUP(AE28,'Team Hub'!$B$1:$F$65,4,false)</f>
        <v>380</v>
      </c>
      <c r="AG28" s="4" t="str">
        <f>VLOOKUP(AE28,'Team Hub'!$B$1:$F$65,5,false)</f>
        <v/>
      </c>
      <c r="AH28" s="5" t="s">
        <v>116</v>
      </c>
      <c r="AI28" s="5">
        <f>VLOOKUP(AH28,'Team Hub'!$B$1:$F$65,4,false)</f>
        <v>0</v>
      </c>
      <c r="AJ28" s="4" t="str">
        <f>VLOOKUP(AH28,'Team Hub'!$B$1:$F$65,5,false)</f>
        <v/>
      </c>
      <c r="AK28" s="5" t="s">
        <v>87</v>
      </c>
      <c r="AL28" s="5">
        <f>VLOOKUP(AK28,'Team Hub'!$B$1:$F$65,4,false)</f>
        <v>210</v>
      </c>
      <c r="AM28" s="4" t="str">
        <f>VLOOKUP(AK28,'Team Hub'!$B$1:$F$65,5,false)</f>
        <v/>
      </c>
      <c r="AN28" s="5" t="s">
        <v>88</v>
      </c>
      <c r="AO28" s="5">
        <f>VLOOKUP(AN28,'Team Hub'!$B$1:$F$65,4,false)</f>
        <v>0</v>
      </c>
      <c r="AP28" s="4" t="str">
        <f>VLOOKUP(AN28,'Team Hub'!$B$1:$F$65,5,false)</f>
        <v/>
      </c>
      <c r="AQ28" s="5" t="s">
        <v>89</v>
      </c>
      <c r="AR28" s="5">
        <f>VLOOKUP(AQ28,'Team Hub'!$B$1:$F$65,4,false)</f>
        <v>0</v>
      </c>
      <c r="AS28" s="4" t="str">
        <f>VLOOKUP(AQ28,'Team Hub'!$B$1:$F$65,5,false)</f>
        <v/>
      </c>
      <c r="AT28" s="5" t="s">
        <v>129</v>
      </c>
      <c r="AU28" s="5">
        <f>VLOOKUP(AT28,'Team Hub'!$B$1:$F$65,4,false)</f>
        <v>0</v>
      </c>
      <c r="AV28" s="4" t="str">
        <f>VLOOKUP(AT28,'Team Hub'!$B$1:$F$65,5,false)</f>
        <v/>
      </c>
      <c r="AW28" s="5" t="s">
        <v>68</v>
      </c>
      <c r="AX28" s="5">
        <f>VLOOKUP(AW28,'Team Hub'!$B$1:$F$65,4,false)</f>
        <v>0</v>
      </c>
      <c r="AY28" s="4" t="str">
        <f>VLOOKUP(AW28,'Team Hub'!$B$1:$F$65,5,false)</f>
        <v/>
      </c>
      <c r="AZ28" s="4" t="s">
        <v>69</v>
      </c>
    </row>
    <row r="29" ht="22.5" customHeight="1">
      <c r="A29" s="4" t="s">
        <v>143</v>
      </c>
      <c r="B29" s="2">
        <f t="shared" ref="B29:C29" si="28">sum(E29+H29+K29+N29+Q29+T29+W29+Z29+AC29+AF29+AI29+AL29+AO29+AR29+AU29+AX29)</f>
        <v>2550</v>
      </c>
      <c r="C29" s="2">
        <f t="shared" si="28"/>
        <v>1</v>
      </c>
      <c r="D29" s="4" t="s">
        <v>71</v>
      </c>
      <c r="E29" s="4">
        <f>VLOOKUP(D29,'Team Hub'!$B$1:$F$65,4,false)</f>
        <v>600</v>
      </c>
      <c r="F29" s="4">
        <f>VLOOKUP(D29,'Team Hub'!$B$1:$F$65,5,false)</f>
        <v>1</v>
      </c>
      <c r="G29" s="5" t="s">
        <v>81</v>
      </c>
      <c r="H29" s="5">
        <f>VLOOKUP(G29,'Team Hub'!$B$1:$F$65,4,false)</f>
        <v>330</v>
      </c>
      <c r="I29" s="4" t="str">
        <f>VLOOKUP(G29,'Team Hub'!$B$1:$F$65,5,false)</f>
        <v/>
      </c>
      <c r="J29" s="5" t="s">
        <v>101</v>
      </c>
      <c r="K29" s="5">
        <f>VLOOKUP(J29,'Team Hub'!$B$1:$F$65,4,false)</f>
        <v>120</v>
      </c>
      <c r="L29" s="4" t="str">
        <f>VLOOKUP(J29,'Team Hub'!$B$1:$F$65,5,false)</f>
        <v/>
      </c>
      <c r="M29" s="5" t="s">
        <v>97</v>
      </c>
      <c r="N29" s="5">
        <f>VLOOKUP(M29,'Team Hub'!$B$1:$F$65,4,false)</f>
        <v>260</v>
      </c>
      <c r="O29" s="5" t="str">
        <f>VLOOKUP(M29,'Team Hub'!$B$1:$F$65,5,false)</f>
        <v/>
      </c>
      <c r="P29" s="5" t="s">
        <v>132</v>
      </c>
      <c r="Q29" s="5">
        <f>VLOOKUP(P29,'Team Hub'!$B$1:$F$65,4,false)</f>
        <v>0</v>
      </c>
      <c r="R29" s="5" t="str">
        <f>VLOOKUP(P29,'Team Hub'!$B$1:$F$65,5,false)</f>
        <v/>
      </c>
      <c r="S29" s="5" t="s">
        <v>92</v>
      </c>
      <c r="T29" s="5">
        <f>VLOOKUP(S29,'Team Hub'!$B$1:$F$65,4,false)</f>
        <v>150</v>
      </c>
      <c r="U29" s="5" t="str">
        <f>VLOOKUP(S29,'Team Hub'!$B$1:$F$65,5,false)</f>
        <v/>
      </c>
      <c r="V29" s="5" t="s">
        <v>93</v>
      </c>
      <c r="W29" s="5">
        <f>VLOOKUP(V29,'Team Hub'!$B$1:$F$65,4,false)</f>
        <v>160</v>
      </c>
      <c r="X29" s="5" t="str">
        <f>VLOOKUP(V29,'Team Hub'!$B$1:$F$65,5,false)</f>
        <v/>
      </c>
      <c r="Y29" s="5" t="s">
        <v>76</v>
      </c>
      <c r="Z29" s="5">
        <f>VLOOKUP(Y29,'Team Hub'!$B$1:$F$65,4,false)</f>
        <v>170</v>
      </c>
      <c r="AA29" s="4" t="str">
        <f>VLOOKUP(Y29,'Team Hub'!$B$1:$F$65,5,false)</f>
        <v/>
      </c>
      <c r="AB29" s="5" t="s">
        <v>61</v>
      </c>
      <c r="AC29" s="5">
        <f>VLOOKUP(AB29,'Team Hub'!$B$1:$F$65,4,false)</f>
        <v>180</v>
      </c>
      <c r="AD29" s="4" t="str">
        <f>VLOOKUP(AB29,'Team Hub'!$B$1:$F$65,5,false)</f>
        <v/>
      </c>
      <c r="AE29" s="5" t="s">
        <v>62</v>
      </c>
      <c r="AF29" s="5">
        <f>VLOOKUP(AE29,'Team Hub'!$B$1:$F$65,4,false)</f>
        <v>380</v>
      </c>
      <c r="AG29" s="4" t="str">
        <f>VLOOKUP(AE29,'Team Hub'!$B$1:$F$65,5,false)</f>
        <v/>
      </c>
      <c r="AH29" s="5" t="s">
        <v>86</v>
      </c>
      <c r="AI29" s="5">
        <f>VLOOKUP(AH29,'Team Hub'!$B$1:$F$65,4,false)</f>
        <v>200</v>
      </c>
      <c r="AJ29" s="4" t="str">
        <f>VLOOKUP(AH29,'Team Hub'!$B$1:$F$65,5,false)</f>
        <v/>
      </c>
      <c r="AK29" s="5" t="s">
        <v>138</v>
      </c>
      <c r="AL29" s="5">
        <f>VLOOKUP(AK29,'Team Hub'!$B$1:$F$65,4,false)</f>
        <v>0</v>
      </c>
      <c r="AM29" s="4" t="str">
        <f>VLOOKUP(AK29,'Team Hub'!$B$1:$F$65,5,false)</f>
        <v/>
      </c>
      <c r="AN29" s="5" t="s">
        <v>88</v>
      </c>
      <c r="AO29" s="5">
        <f>VLOOKUP(AN29,'Team Hub'!$B$1:$F$65,4,false)</f>
        <v>0</v>
      </c>
      <c r="AP29" s="4" t="str">
        <f>VLOOKUP(AN29,'Team Hub'!$B$1:$F$65,5,false)</f>
        <v/>
      </c>
      <c r="AQ29" s="5" t="s">
        <v>66</v>
      </c>
      <c r="AR29" s="5">
        <f>VLOOKUP(AQ29,'Team Hub'!$B$1:$F$65,4,false)</f>
        <v>0</v>
      </c>
      <c r="AS29" s="4" t="str">
        <f>VLOOKUP(AQ29,'Team Hub'!$B$1:$F$65,5,false)</f>
        <v/>
      </c>
      <c r="AT29" s="5" t="s">
        <v>105</v>
      </c>
      <c r="AU29" s="5">
        <f>VLOOKUP(AT29,'Team Hub'!$B$1:$F$65,4,false)</f>
        <v>0</v>
      </c>
      <c r="AV29" s="5" t="str">
        <f>VLOOKUP(AT29,'Team Hub'!$B$1:$F$65,5,false)</f>
        <v/>
      </c>
      <c r="AW29" s="5" t="s">
        <v>99</v>
      </c>
      <c r="AX29" s="5">
        <f>VLOOKUP(AW29,'Team Hub'!$B$1:$F$65,4,false)</f>
        <v>0</v>
      </c>
      <c r="AY29" s="4" t="str">
        <f>VLOOKUP(AW29,'Team Hub'!$B$1:$F$65,5,false)</f>
        <v/>
      </c>
      <c r="AZ29" s="4" t="s">
        <v>69</v>
      </c>
    </row>
    <row r="30" ht="22.5" customHeight="1">
      <c r="A30" s="4" t="s">
        <v>144</v>
      </c>
      <c r="B30" s="2">
        <f t="shared" ref="B30:C30" si="29">sum(E30+H30+K30+N30+Q30+T30+W30+Z30+AC30+AF30+AI30+AL30+AO30+AR30+AU30+AX30)</f>
        <v>2550</v>
      </c>
      <c r="C30" s="2">
        <f t="shared" si="29"/>
        <v>0</v>
      </c>
      <c r="D30" s="5" t="s">
        <v>125</v>
      </c>
      <c r="E30" s="5">
        <f>VLOOKUP(D30,'Team Hub'!$B$1:$F$65,4,false)</f>
        <v>500</v>
      </c>
      <c r="F30" s="4" t="str">
        <f>VLOOKUP(D30,'Team Hub'!$B$1:$F$65,5,false)</f>
        <v/>
      </c>
      <c r="G30" s="5" t="s">
        <v>54</v>
      </c>
      <c r="H30" s="5">
        <f>VLOOKUP(G30,'Team Hub'!$B$1:$F$65,4,false)</f>
        <v>330</v>
      </c>
      <c r="I30" s="4" t="str">
        <f>VLOOKUP(G30,'Team Hub'!$B$1:$F$65,5,false)</f>
        <v/>
      </c>
      <c r="J30" s="5" t="s">
        <v>73</v>
      </c>
      <c r="K30" s="5">
        <f>VLOOKUP(J30,'Team Hub'!$B$1:$F$65,4,false)</f>
        <v>240</v>
      </c>
      <c r="L30" s="4" t="str">
        <f>VLOOKUP(J30,'Team Hub'!$B$1:$F$65,5,false)</f>
        <v/>
      </c>
      <c r="M30" s="5" t="s">
        <v>142</v>
      </c>
      <c r="N30" s="5">
        <f>VLOOKUP(M30,'Team Hub'!$B$1:$F$65,4,false)</f>
        <v>130</v>
      </c>
      <c r="O30" s="5" t="str">
        <f>VLOOKUP(M30,'Team Hub'!$B$1:$F$65,5,false)</f>
        <v/>
      </c>
      <c r="P30" s="5" t="s">
        <v>102</v>
      </c>
      <c r="Q30" s="5">
        <f>VLOOKUP(P30,'Team Hub'!$B$1:$F$65,4,false)</f>
        <v>140</v>
      </c>
      <c r="R30" s="5" t="str">
        <f>VLOOKUP(P30,'Team Hub'!$B$1:$F$65,5,false)</f>
        <v/>
      </c>
      <c r="S30" s="5" t="s">
        <v>82</v>
      </c>
      <c r="T30" s="5">
        <f>VLOOKUP(S30,'Team Hub'!$B$1:$F$65,4,false)</f>
        <v>300</v>
      </c>
      <c r="U30" s="5" t="str">
        <f>VLOOKUP(S30,'Team Hub'!$B$1:$F$65,5,false)</f>
        <v/>
      </c>
      <c r="V30" s="5" t="s">
        <v>59</v>
      </c>
      <c r="W30" s="5">
        <f>VLOOKUP(V30,'Team Hub'!$B$1:$F$65,4,false)</f>
        <v>160</v>
      </c>
      <c r="X30" s="5" t="str">
        <f>VLOOKUP(V30,'Team Hub'!$B$1:$F$65,5,false)</f>
        <v/>
      </c>
      <c r="Y30" s="5" t="s">
        <v>60</v>
      </c>
      <c r="Z30" s="5">
        <f>VLOOKUP(Y30,'Team Hub'!$B$1:$F$65,4,false)</f>
        <v>170</v>
      </c>
      <c r="AA30" s="4" t="str">
        <f>VLOOKUP(Y30,'Team Hub'!$B$1:$F$65,5,false)</f>
        <v/>
      </c>
      <c r="AB30" s="5" t="s">
        <v>61</v>
      </c>
      <c r="AC30" s="5">
        <f>VLOOKUP(AB30,'Team Hub'!$B$1:$F$65,4,false)</f>
        <v>180</v>
      </c>
      <c r="AD30" s="4" t="str">
        <f>VLOOKUP(AB30,'Team Hub'!$B$1:$F$65,5,false)</f>
        <v/>
      </c>
      <c r="AE30" s="5" t="s">
        <v>85</v>
      </c>
      <c r="AF30" s="5">
        <f>VLOOKUP(AE30,'Team Hub'!$B$1:$F$65,4,false)</f>
        <v>190</v>
      </c>
      <c r="AG30" s="4" t="str">
        <f>VLOOKUP(AE30,'Team Hub'!$B$1:$F$65,5,false)</f>
        <v/>
      </c>
      <c r="AH30" s="5" t="s">
        <v>98</v>
      </c>
      <c r="AI30" s="5">
        <f>VLOOKUP(AH30,'Team Hub'!$B$1:$F$65,4,false)</f>
        <v>0</v>
      </c>
      <c r="AJ30" s="4" t="str">
        <f>VLOOKUP(AH30,'Team Hub'!$B$1:$F$65,5,false)</f>
        <v/>
      </c>
      <c r="AK30" s="5" t="s">
        <v>64</v>
      </c>
      <c r="AL30" s="5">
        <f>VLOOKUP(AK30,'Team Hub'!$B$1:$F$65,4,false)</f>
        <v>210</v>
      </c>
      <c r="AM30" s="4" t="str">
        <f>VLOOKUP(AK30,'Team Hub'!$B$1:$F$65,5,false)</f>
        <v/>
      </c>
      <c r="AN30" s="5" t="s">
        <v>65</v>
      </c>
      <c r="AO30" s="5">
        <f>VLOOKUP(AN30,'Team Hub'!$B$1:$F$65,4,false)</f>
        <v>0</v>
      </c>
      <c r="AP30" s="4" t="str">
        <f>VLOOKUP(AN30,'Team Hub'!$B$1:$F$65,5,false)</f>
        <v/>
      </c>
      <c r="AQ30" s="5" t="s">
        <v>78</v>
      </c>
      <c r="AR30" s="5">
        <f>VLOOKUP(AQ30,'Team Hub'!$B$1:$F$65,4,false)</f>
        <v>0</v>
      </c>
      <c r="AS30" s="4" t="str">
        <f>VLOOKUP(AQ30,'Team Hub'!$B$1:$F$65,5,false)</f>
        <v/>
      </c>
      <c r="AT30" s="5" t="s">
        <v>67</v>
      </c>
      <c r="AU30" s="5">
        <f>VLOOKUP(AT30,'Team Hub'!$B$1:$F$65,4,false)</f>
        <v>0</v>
      </c>
      <c r="AV30" s="4" t="str">
        <f>VLOOKUP(AT30,'Team Hub'!$B$1:$F$65,5,false)</f>
        <v/>
      </c>
      <c r="AW30" s="5" t="s">
        <v>103</v>
      </c>
      <c r="AX30" s="5">
        <f>VLOOKUP(AW30,'Team Hub'!$B$1:$F$65,4,false)</f>
        <v>0</v>
      </c>
      <c r="AY30" s="4" t="str">
        <f>VLOOKUP(AW30,'Team Hub'!$B$1:$F$65,5,false)</f>
        <v/>
      </c>
      <c r="AZ30" s="4" t="s">
        <v>69</v>
      </c>
    </row>
    <row r="31" ht="22.5" customHeight="1">
      <c r="A31" s="4" t="s">
        <v>145</v>
      </c>
      <c r="B31" s="2">
        <f t="shared" ref="B31:C31" si="30">sum(E31+H31+K31+N31+Q31+T31+W31+Z31+AC31+AF31+AI31+AL31+AO31+AR31+AU31+AX31)</f>
        <v>2530</v>
      </c>
      <c r="C31" s="2">
        <f t="shared" si="30"/>
        <v>0</v>
      </c>
      <c r="D31" s="5" t="s">
        <v>125</v>
      </c>
      <c r="E31" s="5">
        <f>VLOOKUP(D31,'Team Hub'!$B$1:$F$65,4,false)</f>
        <v>500</v>
      </c>
      <c r="F31" s="4" t="str">
        <f>VLOOKUP(D31,'Team Hub'!$B$1:$F$65,5,false)</f>
        <v/>
      </c>
      <c r="G31" s="5" t="s">
        <v>54</v>
      </c>
      <c r="H31" s="5">
        <f>VLOOKUP(G31,'Team Hub'!$B$1:$F$65,4,false)</f>
        <v>330</v>
      </c>
      <c r="I31" s="4" t="str">
        <f>VLOOKUP(G31,'Team Hub'!$B$1:$F$65,5,false)</f>
        <v/>
      </c>
      <c r="J31" s="5" t="s">
        <v>55</v>
      </c>
      <c r="K31" s="5">
        <f>VLOOKUP(J31,'Team Hub'!$B$1:$F$65,4,false)</f>
        <v>360</v>
      </c>
      <c r="L31" s="4" t="str">
        <f>VLOOKUP(J31,'Team Hub'!$B$1:$F$65,5,false)</f>
        <v/>
      </c>
      <c r="M31" s="5" t="s">
        <v>142</v>
      </c>
      <c r="N31" s="5">
        <f>VLOOKUP(M31,'Team Hub'!$B$1:$F$65,4,false)</f>
        <v>130</v>
      </c>
      <c r="O31" s="5" t="str">
        <f>VLOOKUP(M31,'Team Hub'!$B$1:$F$65,5,false)</f>
        <v/>
      </c>
      <c r="P31" s="5" t="s">
        <v>102</v>
      </c>
      <c r="Q31" s="5">
        <f>VLOOKUP(P31,'Team Hub'!$B$1:$F$65,4,false)</f>
        <v>140</v>
      </c>
      <c r="R31" s="5" t="str">
        <f>VLOOKUP(P31,'Team Hub'!$B$1:$F$65,5,false)</f>
        <v/>
      </c>
      <c r="S31" s="5" t="s">
        <v>82</v>
      </c>
      <c r="T31" s="5">
        <f>VLOOKUP(S31,'Team Hub'!$B$1:$F$65,4,false)</f>
        <v>300</v>
      </c>
      <c r="U31" s="5" t="str">
        <f>VLOOKUP(S31,'Team Hub'!$B$1:$F$65,5,false)</f>
        <v/>
      </c>
      <c r="V31" s="5" t="s">
        <v>75</v>
      </c>
      <c r="W31" s="5">
        <f>VLOOKUP(V31,'Team Hub'!$B$1:$F$65,4,false)</f>
        <v>0</v>
      </c>
      <c r="X31" s="5" t="str">
        <f>VLOOKUP(V31,'Team Hub'!$B$1:$F$65,5,false)</f>
        <v/>
      </c>
      <c r="Y31" s="5" t="s">
        <v>126</v>
      </c>
      <c r="Z31" s="5">
        <f>VLOOKUP(Y31,'Team Hub'!$B$1:$F$65,4,false)</f>
        <v>0</v>
      </c>
      <c r="AA31" s="4" t="str">
        <f>VLOOKUP(Y31,'Team Hub'!$B$1:$F$65,5,false)</f>
        <v/>
      </c>
      <c r="AB31" s="5" t="s">
        <v>61</v>
      </c>
      <c r="AC31" s="5">
        <f>VLOOKUP(AB31,'Team Hub'!$B$1:$F$65,4,false)</f>
        <v>180</v>
      </c>
      <c r="AD31" s="4" t="str">
        <f>VLOOKUP(AB31,'Team Hub'!$B$1:$F$65,5,false)</f>
        <v/>
      </c>
      <c r="AE31" s="5" t="s">
        <v>62</v>
      </c>
      <c r="AF31" s="5">
        <f>VLOOKUP(AE31,'Team Hub'!$B$1:$F$65,4,false)</f>
        <v>380</v>
      </c>
      <c r="AG31" s="4" t="str">
        <f>VLOOKUP(AE31,'Team Hub'!$B$1:$F$65,5,false)</f>
        <v/>
      </c>
      <c r="AH31" s="5" t="s">
        <v>98</v>
      </c>
      <c r="AI31" s="5">
        <f>VLOOKUP(AH31,'Team Hub'!$B$1:$F$65,4,false)</f>
        <v>0</v>
      </c>
      <c r="AJ31" s="4" t="str">
        <f>VLOOKUP(AH31,'Team Hub'!$B$1:$F$65,5,false)</f>
        <v/>
      </c>
      <c r="AK31" s="5" t="s">
        <v>64</v>
      </c>
      <c r="AL31" s="5">
        <f>VLOOKUP(AK31,'Team Hub'!$B$1:$F$65,4,false)</f>
        <v>210</v>
      </c>
      <c r="AM31" s="4" t="str">
        <f>VLOOKUP(AK31,'Team Hub'!$B$1:$F$65,5,false)</f>
        <v/>
      </c>
      <c r="AN31" s="5" t="s">
        <v>65</v>
      </c>
      <c r="AO31" s="5">
        <f>VLOOKUP(AN31,'Team Hub'!$B$1:$F$65,4,false)</f>
        <v>0</v>
      </c>
      <c r="AP31" s="4" t="str">
        <f>VLOOKUP(AN31,'Team Hub'!$B$1:$F$65,5,false)</f>
        <v/>
      </c>
      <c r="AQ31" s="5" t="s">
        <v>66</v>
      </c>
      <c r="AR31" s="5">
        <f>VLOOKUP(AQ31,'Team Hub'!$B$1:$F$65,4,false)</f>
        <v>0</v>
      </c>
      <c r="AS31" s="4" t="str">
        <f>VLOOKUP(AQ31,'Team Hub'!$B$1:$F$65,5,false)</f>
        <v/>
      </c>
      <c r="AT31" s="5" t="s">
        <v>67</v>
      </c>
      <c r="AU31" s="5">
        <f>VLOOKUP(AT31,'Team Hub'!$B$1:$F$65,4,false)</f>
        <v>0</v>
      </c>
      <c r="AV31" s="4" t="str">
        <f>VLOOKUP(AT31,'Team Hub'!$B$1:$F$65,5,false)</f>
        <v/>
      </c>
      <c r="AW31" s="5" t="s">
        <v>68</v>
      </c>
      <c r="AX31" s="5">
        <f>VLOOKUP(AW31,'Team Hub'!$B$1:$F$65,4,false)</f>
        <v>0</v>
      </c>
      <c r="AY31" s="4" t="str">
        <f>VLOOKUP(AW31,'Team Hub'!$B$1:$F$65,5,false)</f>
        <v/>
      </c>
      <c r="AZ31" s="4" t="s">
        <v>69</v>
      </c>
    </row>
    <row r="32" ht="22.5" customHeight="1">
      <c r="A32" s="4" t="s">
        <v>146</v>
      </c>
      <c r="B32" s="2">
        <f t="shared" ref="B32:C32" si="31">sum(E32+H32+K32+N32+Q32+T32+W32+Z32+AC32+AF32+AI32+AL32+AO32+AR32+AU32+AX32)</f>
        <v>2520</v>
      </c>
      <c r="C32" s="2">
        <f t="shared" si="31"/>
        <v>1</v>
      </c>
      <c r="D32" s="4" t="s">
        <v>71</v>
      </c>
      <c r="E32" s="4">
        <f>VLOOKUP(D32,'Team Hub'!$B$1:$F$65,4,false)</f>
        <v>600</v>
      </c>
      <c r="F32" s="4">
        <f>VLOOKUP(D32,'Team Hub'!$B$1:$F$65,5,false)</f>
        <v>1</v>
      </c>
      <c r="G32" s="5" t="s">
        <v>72</v>
      </c>
      <c r="H32" s="5">
        <f>VLOOKUP(G32,'Team Hub'!$B$1:$F$65,4,false)</f>
        <v>330</v>
      </c>
      <c r="I32" s="5" t="str">
        <f>VLOOKUP(G32,'Team Hub'!$B$1:$F$65,5,false)</f>
        <v/>
      </c>
      <c r="J32" s="5" t="s">
        <v>121</v>
      </c>
      <c r="K32" s="5">
        <f>VLOOKUP(J32,'Team Hub'!$B$1:$F$65,4,false)</f>
        <v>120</v>
      </c>
      <c r="L32" s="4" t="str">
        <f>VLOOKUP(J32,'Team Hub'!$B$1:$F$65,5,false)</f>
        <v/>
      </c>
      <c r="M32" s="5" t="s">
        <v>97</v>
      </c>
      <c r="N32" s="5">
        <f>VLOOKUP(M32,'Team Hub'!$B$1:$F$65,4,false)</f>
        <v>260</v>
      </c>
      <c r="O32" s="5" t="str">
        <f>VLOOKUP(M32,'Team Hub'!$B$1:$F$65,5,false)</f>
        <v/>
      </c>
      <c r="P32" s="5" t="s">
        <v>132</v>
      </c>
      <c r="Q32" s="5">
        <f>VLOOKUP(P32,'Team Hub'!$B$1:$F$65,4,false)</f>
        <v>0</v>
      </c>
      <c r="R32" s="5" t="str">
        <f>VLOOKUP(P32,'Team Hub'!$B$1:$F$65,5,false)</f>
        <v/>
      </c>
      <c r="S32" s="5" t="s">
        <v>82</v>
      </c>
      <c r="T32" s="5">
        <f>VLOOKUP(S32,'Team Hub'!$B$1:$F$65,4,false)</f>
        <v>300</v>
      </c>
      <c r="U32" s="5" t="str">
        <f>VLOOKUP(S32,'Team Hub'!$B$1:$F$65,5,false)</f>
        <v/>
      </c>
      <c r="V32" s="5" t="s">
        <v>59</v>
      </c>
      <c r="W32" s="5">
        <f>VLOOKUP(V32,'Team Hub'!$B$1:$F$65,4,false)</f>
        <v>160</v>
      </c>
      <c r="X32" s="5" t="str">
        <f>VLOOKUP(V32,'Team Hub'!$B$1:$F$65,5,false)</f>
        <v/>
      </c>
      <c r="Y32" s="5" t="s">
        <v>76</v>
      </c>
      <c r="Z32" s="5">
        <f>VLOOKUP(Y32,'Team Hub'!$B$1:$F$65,4,false)</f>
        <v>170</v>
      </c>
      <c r="AA32" s="4" t="str">
        <f>VLOOKUP(Y32,'Team Hub'!$B$1:$F$65,5,false)</f>
        <v/>
      </c>
      <c r="AB32" s="5" t="s">
        <v>84</v>
      </c>
      <c r="AC32" s="5">
        <f>VLOOKUP(AB32,'Team Hub'!$B$1:$F$65,4,false)</f>
        <v>0</v>
      </c>
      <c r="AD32" s="4" t="str">
        <f>VLOOKUP(AB32,'Team Hub'!$B$1:$F$65,5,false)</f>
        <v/>
      </c>
      <c r="AE32" s="5" t="s">
        <v>62</v>
      </c>
      <c r="AF32" s="5">
        <f>VLOOKUP(AE32,'Team Hub'!$B$1:$F$65,4,false)</f>
        <v>380</v>
      </c>
      <c r="AG32" s="4" t="str">
        <f>VLOOKUP(AE32,'Team Hub'!$B$1:$F$65,5,false)</f>
        <v/>
      </c>
      <c r="AH32" s="5" t="s">
        <v>86</v>
      </c>
      <c r="AI32" s="5">
        <f>VLOOKUP(AH32,'Team Hub'!$B$1:$F$65,4,false)</f>
        <v>200</v>
      </c>
      <c r="AJ32" s="4" t="str">
        <f>VLOOKUP(AH32,'Team Hub'!$B$1:$F$65,5,false)</f>
        <v/>
      </c>
      <c r="AK32" s="5" t="s">
        <v>138</v>
      </c>
      <c r="AL32" s="5">
        <f>VLOOKUP(AK32,'Team Hub'!$B$1:$F$65,4,false)</f>
        <v>0</v>
      </c>
      <c r="AM32" s="4" t="str">
        <f>VLOOKUP(AK32,'Team Hub'!$B$1:$F$65,5,false)</f>
        <v/>
      </c>
      <c r="AN32" s="5" t="s">
        <v>77</v>
      </c>
      <c r="AO32" s="5">
        <f>VLOOKUP(AN32,'Team Hub'!$B$1:$F$65,4,false)</f>
        <v>0</v>
      </c>
      <c r="AP32" s="4" t="str">
        <f>VLOOKUP(AN32,'Team Hub'!$B$1:$F$65,5,false)</f>
        <v/>
      </c>
      <c r="AQ32" s="5" t="s">
        <v>66</v>
      </c>
      <c r="AR32" s="5">
        <f>VLOOKUP(AQ32,'Team Hub'!$B$1:$F$65,4,false)</f>
        <v>0</v>
      </c>
      <c r="AS32" s="4" t="str">
        <f>VLOOKUP(AQ32,'Team Hub'!$B$1:$F$65,5,false)</f>
        <v/>
      </c>
      <c r="AT32" s="5" t="s">
        <v>67</v>
      </c>
      <c r="AU32" s="5">
        <f>VLOOKUP(AT32,'Team Hub'!$B$1:$F$65,4,false)</f>
        <v>0</v>
      </c>
      <c r="AV32" s="4" t="str">
        <f>VLOOKUP(AT32,'Team Hub'!$B$1:$F$65,5,false)</f>
        <v/>
      </c>
      <c r="AW32" s="5" t="s">
        <v>99</v>
      </c>
      <c r="AX32" s="5">
        <f>VLOOKUP(AW32,'Team Hub'!$B$1:$F$65,4,false)</f>
        <v>0</v>
      </c>
      <c r="AY32" s="4" t="str">
        <f>VLOOKUP(AW32,'Team Hub'!$B$1:$F$65,5,false)</f>
        <v/>
      </c>
      <c r="AZ32" s="4" t="s">
        <v>69</v>
      </c>
    </row>
    <row r="33" ht="22.5" customHeight="1">
      <c r="A33" s="4" t="s">
        <v>147</v>
      </c>
      <c r="B33" s="2">
        <f t="shared" ref="B33:C33" si="32">sum(E33+H33+K33+N33+Q33+T33+W33+Z33+AC33+AF33+AI33+AL33+AO33+AR33+AU33+AX33)</f>
        <v>2520</v>
      </c>
      <c r="C33" s="2">
        <f t="shared" si="32"/>
        <v>1</v>
      </c>
      <c r="D33" s="4" t="s">
        <v>71</v>
      </c>
      <c r="E33" s="4">
        <f>VLOOKUP(D33,'Team Hub'!$B$1:$F$65,4,false)</f>
        <v>600</v>
      </c>
      <c r="F33" s="4">
        <f>VLOOKUP(D33,'Team Hub'!$B$1:$F$65,5,false)</f>
        <v>1</v>
      </c>
      <c r="G33" s="5" t="s">
        <v>54</v>
      </c>
      <c r="H33" s="5">
        <f>VLOOKUP(G33,'Team Hub'!$B$1:$F$65,4,false)</f>
        <v>330</v>
      </c>
      <c r="I33" s="4" t="str">
        <f>VLOOKUP(G33,'Team Hub'!$B$1:$F$65,5,false)</f>
        <v/>
      </c>
      <c r="J33" s="5" t="s">
        <v>55</v>
      </c>
      <c r="K33" s="5">
        <f>VLOOKUP(J33,'Team Hub'!$B$1:$F$65,4,false)</f>
        <v>360</v>
      </c>
      <c r="L33" s="4" t="str">
        <f>VLOOKUP(J33,'Team Hub'!$B$1:$F$65,5,false)</f>
        <v/>
      </c>
      <c r="M33" s="5" t="s">
        <v>56</v>
      </c>
      <c r="N33" s="5">
        <f>VLOOKUP(M33,'Team Hub'!$B$1:$F$65,4,false)</f>
        <v>260</v>
      </c>
      <c r="O33" s="5" t="str">
        <f>VLOOKUP(M33,'Team Hub'!$B$1:$F$65,5,false)</f>
        <v/>
      </c>
      <c r="P33" s="5" t="s">
        <v>57</v>
      </c>
      <c r="Q33" s="5">
        <f>VLOOKUP(P33,'Team Hub'!$B$1:$F$65,4,false)</f>
        <v>280</v>
      </c>
      <c r="R33" s="5" t="str">
        <f>VLOOKUP(P33,'Team Hub'!$B$1:$F$65,5,false)</f>
        <v/>
      </c>
      <c r="S33" s="5" t="s">
        <v>92</v>
      </c>
      <c r="T33" s="5">
        <f>VLOOKUP(S33,'Team Hub'!$B$1:$F$65,4,false)</f>
        <v>150</v>
      </c>
      <c r="U33" s="5" t="str">
        <f>VLOOKUP(S33,'Team Hub'!$B$1:$F$65,5,false)</f>
        <v/>
      </c>
      <c r="V33" s="5" t="s">
        <v>83</v>
      </c>
      <c r="W33" s="5">
        <f>VLOOKUP(V33,'Team Hub'!$B$1:$F$65,4,false)</f>
        <v>0</v>
      </c>
      <c r="X33" s="5" t="str">
        <f>VLOOKUP(V33,'Team Hub'!$B$1:$F$65,5,false)</f>
        <v/>
      </c>
      <c r="Y33" s="5" t="s">
        <v>76</v>
      </c>
      <c r="Z33" s="5">
        <f>VLOOKUP(Y33,'Team Hub'!$B$1:$F$65,4,false)</f>
        <v>170</v>
      </c>
      <c r="AA33" s="4" t="str">
        <f>VLOOKUP(Y33,'Team Hub'!$B$1:$F$65,5,false)</f>
        <v/>
      </c>
      <c r="AB33" s="5" t="s">
        <v>94</v>
      </c>
      <c r="AC33" s="5">
        <f>VLOOKUP(AB33,'Team Hub'!$B$1:$F$65,4,false)</f>
        <v>180</v>
      </c>
      <c r="AD33" s="4" t="str">
        <f>VLOOKUP(AB33,'Team Hub'!$B$1:$F$65,5,false)</f>
        <v/>
      </c>
      <c r="AE33" s="5" t="s">
        <v>85</v>
      </c>
      <c r="AF33" s="5">
        <f>VLOOKUP(AE33,'Team Hub'!$B$1:$F$65,4,false)</f>
        <v>190</v>
      </c>
      <c r="AG33" s="4" t="str">
        <f>VLOOKUP(AE33,'Team Hub'!$B$1:$F$65,5,false)</f>
        <v/>
      </c>
      <c r="AH33" s="5" t="s">
        <v>98</v>
      </c>
      <c r="AI33" s="5">
        <f>VLOOKUP(AH33,'Team Hub'!$B$1:$F$65,4,false)</f>
        <v>0</v>
      </c>
      <c r="AJ33" s="4" t="str">
        <f>VLOOKUP(AH33,'Team Hub'!$B$1:$F$65,5,false)</f>
        <v/>
      </c>
      <c r="AK33" s="5" t="s">
        <v>107</v>
      </c>
      <c r="AL33" s="5">
        <f>VLOOKUP(AK33,'Team Hub'!$B$1:$F$65,4,false)</f>
        <v>0</v>
      </c>
      <c r="AM33" s="4" t="str">
        <f>VLOOKUP(AK33,'Team Hub'!$B$1:$F$65,5,false)</f>
        <v/>
      </c>
      <c r="AN33" s="5" t="s">
        <v>77</v>
      </c>
      <c r="AO33" s="5">
        <f>VLOOKUP(AN33,'Team Hub'!$B$1:$F$65,4,false)</f>
        <v>0</v>
      </c>
      <c r="AP33" s="4" t="str">
        <f>VLOOKUP(AN33,'Team Hub'!$B$1:$F$65,5,false)</f>
        <v/>
      </c>
      <c r="AQ33" s="5" t="s">
        <v>89</v>
      </c>
      <c r="AR33" s="5">
        <f>VLOOKUP(AQ33,'Team Hub'!$B$1:$F$65,4,false)</f>
        <v>0</v>
      </c>
      <c r="AS33" s="4" t="str">
        <f>VLOOKUP(AQ33,'Team Hub'!$B$1:$F$65,5,false)</f>
        <v/>
      </c>
      <c r="AT33" s="5" t="s">
        <v>67</v>
      </c>
      <c r="AU33" s="5">
        <f>VLOOKUP(AT33,'Team Hub'!$B$1:$F$65,4,false)</f>
        <v>0</v>
      </c>
      <c r="AV33" s="4" t="str">
        <f>VLOOKUP(AT33,'Team Hub'!$B$1:$F$65,5,false)</f>
        <v/>
      </c>
      <c r="AW33" s="5" t="s">
        <v>95</v>
      </c>
      <c r="AX33" s="5">
        <f>VLOOKUP(AW33,'Team Hub'!$B$1:$F$65,4,false)</f>
        <v>0</v>
      </c>
      <c r="AY33" s="4" t="str">
        <f>VLOOKUP(AW33,'Team Hub'!$B$1:$F$65,5,false)</f>
        <v/>
      </c>
      <c r="AZ33" s="4" t="s">
        <v>148</v>
      </c>
    </row>
    <row r="34" ht="22.5" customHeight="1">
      <c r="A34" s="4" t="s">
        <v>149</v>
      </c>
      <c r="B34" s="2">
        <f t="shared" ref="B34:C34" si="33">sum(E34+H34+K34+N34+Q34+T34+W34+Z34+AC34+AF34+AI34+AL34+AO34+AR34+AU34+AX34)</f>
        <v>2500</v>
      </c>
      <c r="C34" s="2">
        <f t="shared" si="33"/>
        <v>0</v>
      </c>
      <c r="D34" s="5" t="s">
        <v>53</v>
      </c>
      <c r="E34" s="5">
        <f>VLOOKUP(D34,'Team Hub'!$B$1:$F$65,4,false)</f>
        <v>400</v>
      </c>
      <c r="F34" s="4" t="str">
        <f>VLOOKUP(D34,'Team Hub'!$B$1:$F$65,5,false)</f>
        <v/>
      </c>
      <c r="G34" s="5" t="s">
        <v>81</v>
      </c>
      <c r="H34" s="5">
        <f>VLOOKUP(G34,'Team Hub'!$B$1:$F$65,4,false)</f>
        <v>330</v>
      </c>
      <c r="I34" s="4" t="str">
        <f>VLOOKUP(G34,'Team Hub'!$B$1:$F$65,5,false)</f>
        <v/>
      </c>
      <c r="J34" s="5" t="s">
        <v>55</v>
      </c>
      <c r="K34" s="5">
        <f>VLOOKUP(J34,'Team Hub'!$B$1:$F$65,4,false)</f>
        <v>360</v>
      </c>
      <c r="L34" s="4" t="str">
        <f>VLOOKUP(J34,'Team Hub'!$B$1:$F$65,5,false)</f>
        <v/>
      </c>
      <c r="M34" s="5" t="s">
        <v>74</v>
      </c>
      <c r="N34" s="5">
        <f>VLOOKUP(M34,'Team Hub'!$B$1:$F$65,4,false)</f>
        <v>260</v>
      </c>
      <c r="O34" s="5" t="str">
        <f>VLOOKUP(M34,'Team Hub'!$B$1:$F$65,5,false)</f>
        <v/>
      </c>
      <c r="P34" s="5" t="s">
        <v>57</v>
      </c>
      <c r="Q34" s="5">
        <f>VLOOKUP(P34,'Team Hub'!$B$1:$F$65,4,false)</f>
        <v>280</v>
      </c>
      <c r="R34" s="5" t="str">
        <f>VLOOKUP(P34,'Team Hub'!$B$1:$F$65,5,false)</f>
        <v/>
      </c>
      <c r="S34" s="5" t="s">
        <v>58</v>
      </c>
      <c r="T34" s="5">
        <f>VLOOKUP(S34,'Team Hub'!$B$1:$F$65,4,false)</f>
        <v>300</v>
      </c>
      <c r="U34" s="5" t="str">
        <f>VLOOKUP(S34,'Team Hub'!$B$1:$F$65,5,false)</f>
        <v/>
      </c>
      <c r="V34" s="5" t="s">
        <v>75</v>
      </c>
      <c r="W34" s="5">
        <f>VLOOKUP(V34,'Team Hub'!$B$1:$F$65,4,false)</f>
        <v>0</v>
      </c>
      <c r="X34" s="5" t="str">
        <f>VLOOKUP(V34,'Team Hub'!$B$1:$F$65,5,false)</f>
        <v/>
      </c>
      <c r="Y34" s="5" t="s">
        <v>76</v>
      </c>
      <c r="Z34" s="5">
        <f>VLOOKUP(Y34,'Team Hub'!$B$1:$F$65,4,false)</f>
        <v>170</v>
      </c>
      <c r="AA34" s="4" t="str">
        <f>VLOOKUP(Y34,'Team Hub'!$B$1:$F$65,5,false)</f>
        <v/>
      </c>
      <c r="AB34" s="5" t="s">
        <v>84</v>
      </c>
      <c r="AC34" s="5">
        <f>VLOOKUP(AB34,'Team Hub'!$B$1:$F$65,4,false)</f>
        <v>0</v>
      </c>
      <c r="AD34" s="4" t="str">
        <f>VLOOKUP(AB34,'Team Hub'!$B$1:$F$65,5,false)</f>
        <v/>
      </c>
      <c r="AE34" s="5" t="s">
        <v>85</v>
      </c>
      <c r="AF34" s="5">
        <f>VLOOKUP(AE34,'Team Hub'!$B$1:$F$65,4,false)</f>
        <v>190</v>
      </c>
      <c r="AG34" s="4" t="str">
        <f>VLOOKUP(AE34,'Team Hub'!$B$1:$F$65,5,false)</f>
        <v/>
      </c>
      <c r="AH34" s="5" t="s">
        <v>116</v>
      </c>
      <c r="AI34" s="5">
        <f>VLOOKUP(AH34,'Team Hub'!$B$1:$F$65,4,false)</f>
        <v>0</v>
      </c>
      <c r="AJ34" s="4" t="str">
        <f>VLOOKUP(AH34,'Team Hub'!$B$1:$F$65,5,false)</f>
        <v/>
      </c>
      <c r="AK34" s="5" t="s">
        <v>64</v>
      </c>
      <c r="AL34" s="5">
        <f>VLOOKUP(AK34,'Team Hub'!$B$1:$F$65,4,false)</f>
        <v>210</v>
      </c>
      <c r="AM34" s="4" t="str">
        <f>VLOOKUP(AK34,'Team Hub'!$B$1:$F$65,5,false)</f>
        <v/>
      </c>
      <c r="AN34" s="5" t="s">
        <v>88</v>
      </c>
      <c r="AO34" s="5">
        <f>VLOOKUP(AN34,'Team Hub'!$B$1:$F$65,4,false)</f>
        <v>0</v>
      </c>
      <c r="AP34" s="4" t="str">
        <f>VLOOKUP(AN34,'Team Hub'!$B$1:$F$65,5,false)</f>
        <v/>
      </c>
      <c r="AQ34" s="5" t="s">
        <v>66</v>
      </c>
      <c r="AR34" s="5">
        <f>VLOOKUP(AQ34,'Team Hub'!$B$1:$F$65,4,false)</f>
        <v>0</v>
      </c>
      <c r="AS34" s="4" t="str">
        <f>VLOOKUP(AQ34,'Team Hub'!$B$1:$F$65,5,false)</f>
        <v/>
      </c>
      <c r="AT34" s="5" t="s">
        <v>67</v>
      </c>
      <c r="AU34" s="5">
        <f>VLOOKUP(AT34,'Team Hub'!$B$1:$F$65,4,false)</f>
        <v>0</v>
      </c>
      <c r="AV34" s="4" t="str">
        <f>VLOOKUP(AT34,'Team Hub'!$B$1:$F$65,5,false)</f>
        <v/>
      </c>
      <c r="AW34" s="5" t="s">
        <v>103</v>
      </c>
      <c r="AX34" s="5">
        <f>VLOOKUP(AW34,'Team Hub'!$B$1:$F$65,4,false)</f>
        <v>0</v>
      </c>
      <c r="AY34" s="4" t="str">
        <f>VLOOKUP(AW34,'Team Hub'!$B$1:$F$65,5,false)</f>
        <v/>
      </c>
      <c r="AZ34" s="4" t="s">
        <v>69</v>
      </c>
    </row>
    <row r="35" ht="22.5" customHeight="1">
      <c r="A35" s="4" t="s">
        <v>150</v>
      </c>
      <c r="B35" s="2">
        <f t="shared" ref="B35:C35" si="34">sum(E35+H35+K35+N35+Q35+T35+W35+Z35+AC35+AF35+AI35+AL35+AO35+AR35+AU35+AX35)</f>
        <v>2500</v>
      </c>
      <c r="C35" s="2">
        <f t="shared" si="34"/>
        <v>1</v>
      </c>
      <c r="D35" s="4" t="s">
        <v>71</v>
      </c>
      <c r="E35" s="4">
        <f>VLOOKUP(D35,'Team Hub'!$B$1:$F$65,4,false)</f>
        <v>600</v>
      </c>
      <c r="F35" s="4">
        <f>VLOOKUP(D35,'Team Hub'!$B$1:$F$65,5,false)</f>
        <v>1</v>
      </c>
      <c r="G35" s="5" t="s">
        <v>72</v>
      </c>
      <c r="H35" s="5">
        <f>VLOOKUP(G35,'Team Hub'!$B$1:$F$65,4,false)</f>
        <v>330</v>
      </c>
      <c r="I35" s="5" t="str">
        <f>VLOOKUP(G35,'Team Hub'!$B$1:$F$65,5,false)</f>
        <v/>
      </c>
      <c r="J35" s="5" t="s">
        <v>101</v>
      </c>
      <c r="K35" s="5">
        <f>VLOOKUP(J35,'Team Hub'!$B$1:$F$65,4,false)</f>
        <v>120</v>
      </c>
      <c r="L35" s="4" t="str">
        <f>VLOOKUP(J35,'Team Hub'!$B$1:$F$65,5,false)</f>
        <v/>
      </c>
      <c r="M35" s="5" t="s">
        <v>142</v>
      </c>
      <c r="N35" s="5">
        <f>VLOOKUP(M35,'Team Hub'!$B$1:$F$65,4,false)</f>
        <v>130</v>
      </c>
      <c r="O35" s="5" t="str">
        <f>VLOOKUP(M35,'Team Hub'!$B$1:$F$65,5,false)</f>
        <v/>
      </c>
      <c r="P35" s="5" t="s">
        <v>57</v>
      </c>
      <c r="Q35" s="5">
        <f>VLOOKUP(P35,'Team Hub'!$B$1:$F$65,4,false)</f>
        <v>280</v>
      </c>
      <c r="R35" s="5" t="str">
        <f>VLOOKUP(P35,'Team Hub'!$B$1:$F$65,5,false)</f>
        <v/>
      </c>
      <c r="S35" s="5" t="s">
        <v>92</v>
      </c>
      <c r="T35" s="5">
        <f>VLOOKUP(S35,'Team Hub'!$B$1:$F$65,4,false)</f>
        <v>150</v>
      </c>
      <c r="U35" s="5" t="str">
        <f>VLOOKUP(S35,'Team Hub'!$B$1:$F$65,5,false)</f>
        <v/>
      </c>
      <c r="V35" s="5" t="s">
        <v>59</v>
      </c>
      <c r="W35" s="5">
        <f>VLOOKUP(V35,'Team Hub'!$B$1:$F$65,4,false)</f>
        <v>160</v>
      </c>
      <c r="X35" s="5" t="str">
        <f>VLOOKUP(V35,'Team Hub'!$B$1:$F$65,5,false)</f>
        <v/>
      </c>
      <c r="Y35" s="5" t="s">
        <v>76</v>
      </c>
      <c r="Z35" s="5">
        <f>VLOOKUP(Y35,'Team Hub'!$B$1:$F$65,4,false)</f>
        <v>170</v>
      </c>
      <c r="AA35" s="4" t="str">
        <f>VLOOKUP(Y35,'Team Hub'!$B$1:$F$65,5,false)</f>
        <v/>
      </c>
      <c r="AB35" s="5" t="s">
        <v>61</v>
      </c>
      <c r="AC35" s="5">
        <f>VLOOKUP(AB35,'Team Hub'!$B$1:$F$65,4,false)</f>
        <v>180</v>
      </c>
      <c r="AD35" s="4" t="str">
        <f>VLOOKUP(AB35,'Team Hub'!$B$1:$F$65,5,false)</f>
        <v/>
      </c>
      <c r="AE35" s="5" t="s">
        <v>62</v>
      </c>
      <c r="AF35" s="5">
        <f>VLOOKUP(AE35,'Team Hub'!$B$1:$F$65,4,false)</f>
        <v>380</v>
      </c>
      <c r="AG35" s="4" t="str">
        <f>VLOOKUP(AE35,'Team Hub'!$B$1:$F$65,5,false)</f>
        <v/>
      </c>
      <c r="AH35" s="5" t="s">
        <v>63</v>
      </c>
      <c r="AI35" s="5">
        <f>VLOOKUP(AH35,'Team Hub'!$B$1:$F$65,4,false)</f>
        <v>0</v>
      </c>
      <c r="AJ35" s="4" t="str">
        <f>VLOOKUP(AH35,'Team Hub'!$B$1:$F$65,5,false)</f>
        <v/>
      </c>
      <c r="AK35" s="5" t="s">
        <v>107</v>
      </c>
      <c r="AL35" s="5">
        <f>VLOOKUP(AK35,'Team Hub'!$B$1:$F$65,4,false)</f>
        <v>0</v>
      </c>
      <c r="AM35" s="4" t="str">
        <f>VLOOKUP(AK35,'Team Hub'!$B$1:$F$65,5,false)</f>
        <v/>
      </c>
      <c r="AN35" s="5" t="s">
        <v>88</v>
      </c>
      <c r="AO35" s="5">
        <f>VLOOKUP(AN35,'Team Hub'!$B$1:$F$65,4,false)</f>
        <v>0</v>
      </c>
      <c r="AP35" s="4" t="str">
        <f>VLOOKUP(AN35,'Team Hub'!$B$1:$F$65,5,false)</f>
        <v/>
      </c>
      <c r="AQ35" s="5" t="s">
        <v>78</v>
      </c>
      <c r="AR35" s="5">
        <f>VLOOKUP(AQ35,'Team Hub'!$B$1:$F$65,4,false)</f>
        <v>0</v>
      </c>
      <c r="AS35" s="4" t="str">
        <f>VLOOKUP(AQ35,'Team Hub'!$B$1:$F$65,5,false)</f>
        <v/>
      </c>
      <c r="AT35" s="5" t="s">
        <v>129</v>
      </c>
      <c r="AU35" s="5">
        <f>VLOOKUP(AT35,'Team Hub'!$B$1:$F$65,4,false)</f>
        <v>0</v>
      </c>
      <c r="AV35" s="4" t="str">
        <f>VLOOKUP(AT35,'Team Hub'!$B$1:$F$65,5,false)</f>
        <v/>
      </c>
      <c r="AW35" s="5" t="s">
        <v>95</v>
      </c>
      <c r="AX35" s="5">
        <f>VLOOKUP(AW35,'Team Hub'!$B$1:$F$65,4,false)</f>
        <v>0</v>
      </c>
      <c r="AY35" s="4" t="str">
        <f>VLOOKUP(AW35,'Team Hub'!$B$1:$F$65,5,false)</f>
        <v/>
      </c>
      <c r="AZ35" s="4" t="s">
        <v>69</v>
      </c>
    </row>
    <row r="36" ht="22.5" customHeight="1">
      <c r="A36" s="4" t="s">
        <v>151</v>
      </c>
      <c r="B36" s="2">
        <f t="shared" ref="B36:C36" si="35">sum(E36+H36+K36+N36+Q36+T36+W36+Z36+AC36+AF36+AI36+AL36+AO36+AR36+AU36+AX36)</f>
        <v>2500</v>
      </c>
      <c r="C36" s="2">
        <f t="shared" si="35"/>
        <v>0</v>
      </c>
      <c r="D36" s="5" t="s">
        <v>125</v>
      </c>
      <c r="E36" s="5">
        <f>VLOOKUP(D36,'Team Hub'!$B$1:$F$65,4,false)</f>
        <v>500</v>
      </c>
      <c r="F36" s="4" t="str">
        <f>VLOOKUP(D36,'Team Hub'!$B$1:$F$65,5,false)</f>
        <v/>
      </c>
      <c r="G36" s="5" t="s">
        <v>109</v>
      </c>
      <c r="H36" s="5">
        <f>VLOOKUP(G36,'Team Hub'!$B$1:$F$65,4,false)</f>
        <v>110</v>
      </c>
      <c r="I36" s="4" t="str">
        <f>VLOOKUP(G36,'Team Hub'!$B$1:$F$65,5,false)</f>
        <v/>
      </c>
      <c r="J36" s="5" t="s">
        <v>73</v>
      </c>
      <c r="K36" s="5">
        <f>VLOOKUP(J36,'Team Hub'!$B$1:$F$65,4,false)</f>
        <v>240</v>
      </c>
      <c r="L36" s="4" t="str">
        <f>VLOOKUP(J36,'Team Hub'!$B$1:$F$65,5,false)</f>
        <v/>
      </c>
      <c r="M36" s="5" t="s">
        <v>74</v>
      </c>
      <c r="N36" s="5">
        <f>VLOOKUP(M36,'Team Hub'!$B$1:$F$65,4,false)</f>
        <v>260</v>
      </c>
      <c r="O36" s="5" t="str">
        <f>VLOOKUP(M36,'Team Hub'!$B$1:$F$65,5,false)</f>
        <v/>
      </c>
      <c r="P36" s="5" t="s">
        <v>136</v>
      </c>
      <c r="Q36" s="5">
        <f>VLOOKUP(P36,'Team Hub'!$B$1:$F$65,4,false)</f>
        <v>0</v>
      </c>
      <c r="R36" s="5" t="str">
        <f>VLOOKUP(P36,'Team Hub'!$B$1:$F$65,5,false)</f>
        <v/>
      </c>
      <c r="S36" s="5" t="s">
        <v>82</v>
      </c>
      <c r="T36" s="5">
        <f>VLOOKUP(S36,'Team Hub'!$B$1:$F$65,4,false)</f>
        <v>300</v>
      </c>
      <c r="U36" s="5" t="str">
        <f>VLOOKUP(S36,'Team Hub'!$B$1:$F$65,5,false)</f>
        <v/>
      </c>
      <c r="V36" s="5" t="s">
        <v>93</v>
      </c>
      <c r="W36" s="5">
        <f>VLOOKUP(V36,'Team Hub'!$B$1:$F$65,4,false)</f>
        <v>160</v>
      </c>
      <c r="X36" s="5" t="str">
        <f>VLOOKUP(V36,'Team Hub'!$B$1:$F$65,5,false)</f>
        <v/>
      </c>
      <c r="Y36" s="5" t="s">
        <v>76</v>
      </c>
      <c r="Z36" s="5">
        <f>VLOOKUP(Y36,'Team Hub'!$B$1:$F$65,4,false)</f>
        <v>170</v>
      </c>
      <c r="AA36" s="4" t="str">
        <f>VLOOKUP(Y36,'Team Hub'!$B$1:$F$65,5,false)</f>
        <v/>
      </c>
      <c r="AB36" s="5" t="s">
        <v>94</v>
      </c>
      <c r="AC36" s="5">
        <f>VLOOKUP(AB36,'Team Hub'!$B$1:$F$65,4,false)</f>
        <v>180</v>
      </c>
      <c r="AD36" s="4" t="str">
        <f>VLOOKUP(AB36,'Team Hub'!$B$1:$F$65,5,false)</f>
        <v/>
      </c>
      <c r="AE36" s="5" t="s">
        <v>62</v>
      </c>
      <c r="AF36" s="5">
        <f>VLOOKUP(AE36,'Team Hub'!$B$1:$F$65,4,false)</f>
        <v>380</v>
      </c>
      <c r="AG36" s="4" t="str">
        <f>VLOOKUP(AE36,'Team Hub'!$B$1:$F$65,5,false)</f>
        <v/>
      </c>
      <c r="AH36" s="5" t="s">
        <v>86</v>
      </c>
      <c r="AI36" s="5">
        <f>VLOOKUP(AH36,'Team Hub'!$B$1:$F$65,4,false)</f>
        <v>200</v>
      </c>
      <c r="AJ36" s="4" t="str">
        <f>VLOOKUP(AH36,'Team Hub'!$B$1:$F$65,5,false)</f>
        <v/>
      </c>
      <c r="AK36" s="5" t="s">
        <v>138</v>
      </c>
      <c r="AL36" s="5">
        <f>VLOOKUP(AK36,'Team Hub'!$B$1:$F$65,4,false)</f>
        <v>0</v>
      </c>
      <c r="AM36" s="4" t="str">
        <f>VLOOKUP(AK36,'Team Hub'!$B$1:$F$65,5,false)</f>
        <v/>
      </c>
      <c r="AN36" s="5" t="s">
        <v>110</v>
      </c>
      <c r="AO36" s="5">
        <f>VLOOKUP(AN36,'Team Hub'!$B$1:$F$65,4,false)</f>
        <v>0</v>
      </c>
      <c r="AP36" s="4" t="str">
        <f>VLOOKUP(AN36,'Team Hub'!$B$1:$F$65,5,false)</f>
        <v/>
      </c>
      <c r="AQ36" s="5" t="s">
        <v>66</v>
      </c>
      <c r="AR36" s="5">
        <f>VLOOKUP(AQ36,'Team Hub'!$B$1:$F$65,4,false)</f>
        <v>0</v>
      </c>
      <c r="AS36" s="4" t="str">
        <f>VLOOKUP(AQ36,'Team Hub'!$B$1:$F$65,5,false)</f>
        <v/>
      </c>
      <c r="AT36" s="5" t="s">
        <v>129</v>
      </c>
      <c r="AU36" s="5">
        <f>VLOOKUP(AT36,'Team Hub'!$B$1:$F$65,4,false)</f>
        <v>0</v>
      </c>
      <c r="AV36" s="5" t="str">
        <f>VLOOKUP(AT36,'Team Hub'!$B$1:$F$65,5,false)</f>
        <v/>
      </c>
      <c r="AW36" s="5" t="s">
        <v>68</v>
      </c>
      <c r="AX36" s="5">
        <f>VLOOKUP(AW36,'Team Hub'!$B$1:$F$65,4,false)</f>
        <v>0</v>
      </c>
      <c r="AY36" s="4" t="str">
        <f>VLOOKUP(AW36,'Team Hub'!$B$1:$F$65,5,false)</f>
        <v/>
      </c>
      <c r="AZ36" s="4" t="s">
        <v>69</v>
      </c>
    </row>
    <row r="37" ht="22.5" customHeight="1">
      <c r="A37" s="4" t="s">
        <v>152</v>
      </c>
      <c r="B37" s="2">
        <f t="shared" ref="B37:C37" si="36">sum(E37+H37+K37+N37+Q37+T37+W37+Z37+AC37+AF37+AI37+AL37+AO37+AR37+AU37+AX37)</f>
        <v>2490</v>
      </c>
      <c r="C37" s="2">
        <f t="shared" si="36"/>
        <v>1</v>
      </c>
      <c r="D37" s="4" t="s">
        <v>71</v>
      </c>
      <c r="E37" s="4">
        <f>VLOOKUP(D37,'Team Hub'!$B$1:$F$65,4,false)</f>
        <v>600</v>
      </c>
      <c r="F37" s="4">
        <f>VLOOKUP(D37,'Team Hub'!$B$1:$F$65,5,false)</f>
        <v>1</v>
      </c>
      <c r="G37" s="5" t="s">
        <v>72</v>
      </c>
      <c r="H37" s="5">
        <f>VLOOKUP(G37,'Team Hub'!$B$1:$F$65,4,false)</f>
        <v>330</v>
      </c>
      <c r="I37" s="5" t="str">
        <f>VLOOKUP(G37,'Team Hub'!$B$1:$F$65,5,false)</f>
        <v/>
      </c>
      <c r="J37" s="5" t="s">
        <v>73</v>
      </c>
      <c r="K37" s="5">
        <f>VLOOKUP(J37,'Team Hub'!$B$1:$F$65,4,false)</f>
        <v>240</v>
      </c>
      <c r="L37" s="4" t="str">
        <f>VLOOKUP(J37,'Team Hub'!$B$1:$F$65,5,false)</f>
        <v/>
      </c>
      <c r="M37" s="5" t="s">
        <v>97</v>
      </c>
      <c r="N37" s="5">
        <f>VLOOKUP(M37,'Team Hub'!$B$1:$F$65,4,false)</f>
        <v>260</v>
      </c>
      <c r="O37" s="5" t="str">
        <f>VLOOKUP(M37,'Team Hub'!$B$1:$F$65,5,false)</f>
        <v/>
      </c>
      <c r="P37" s="5" t="s">
        <v>132</v>
      </c>
      <c r="Q37" s="5">
        <f>VLOOKUP(P37,'Team Hub'!$B$1:$F$65,4,false)</f>
        <v>0</v>
      </c>
      <c r="R37" s="5" t="str">
        <f>VLOOKUP(P37,'Team Hub'!$B$1:$F$65,5,false)</f>
        <v/>
      </c>
      <c r="S37" s="5" t="s">
        <v>92</v>
      </c>
      <c r="T37" s="5">
        <f>VLOOKUP(S37,'Team Hub'!$B$1:$F$65,4,false)</f>
        <v>150</v>
      </c>
      <c r="U37" s="5" t="str">
        <f>VLOOKUP(S37,'Team Hub'!$B$1:$F$65,5,false)</f>
        <v/>
      </c>
      <c r="V37" s="5" t="s">
        <v>93</v>
      </c>
      <c r="W37" s="5">
        <f>VLOOKUP(V37,'Team Hub'!$B$1:$F$65,4,false)</f>
        <v>160</v>
      </c>
      <c r="X37" s="5" t="str">
        <f>VLOOKUP(V37,'Team Hub'!$B$1:$F$65,5,false)</f>
        <v/>
      </c>
      <c r="Y37" s="5" t="s">
        <v>76</v>
      </c>
      <c r="Z37" s="5">
        <f>VLOOKUP(Y37,'Team Hub'!$B$1:$F$65,4,false)</f>
        <v>170</v>
      </c>
      <c r="AA37" s="4" t="str">
        <f>VLOOKUP(Y37,'Team Hub'!$B$1:$F$65,5,false)</f>
        <v/>
      </c>
      <c r="AB37" s="5" t="s">
        <v>61</v>
      </c>
      <c r="AC37" s="5">
        <f>VLOOKUP(AB37,'Team Hub'!$B$1:$F$65,4,false)</f>
        <v>180</v>
      </c>
      <c r="AD37" s="4" t="str">
        <f>VLOOKUP(AB37,'Team Hub'!$B$1:$F$65,5,false)</f>
        <v/>
      </c>
      <c r="AE37" s="5" t="s">
        <v>85</v>
      </c>
      <c r="AF37" s="5">
        <f>VLOOKUP(AE37,'Team Hub'!$B$1:$F$65,4,false)</f>
        <v>190</v>
      </c>
      <c r="AG37" s="4" t="str">
        <f>VLOOKUP(AE37,'Team Hub'!$B$1:$F$65,5,false)</f>
        <v/>
      </c>
      <c r="AH37" s="5" t="s">
        <v>98</v>
      </c>
      <c r="AI37" s="5">
        <f>VLOOKUP(AH37,'Team Hub'!$B$1:$F$65,4,false)</f>
        <v>0</v>
      </c>
      <c r="AJ37" s="4" t="str">
        <f>VLOOKUP(AH37,'Team Hub'!$B$1:$F$65,5,false)</f>
        <v/>
      </c>
      <c r="AK37" s="5" t="s">
        <v>64</v>
      </c>
      <c r="AL37" s="5">
        <f>VLOOKUP(AK37,'Team Hub'!$B$1:$F$65,4,false)</f>
        <v>210</v>
      </c>
      <c r="AM37" s="4" t="str">
        <f>VLOOKUP(AK37,'Team Hub'!$B$1:$F$65,5,false)</f>
        <v/>
      </c>
      <c r="AN37" s="5" t="s">
        <v>88</v>
      </c>
      <c r="AO37" s="5">
        <f>VLOOKUP(AN37,'Team Hub'!$B$1:$F$65,4,false)</f>
        <v>0</v>
      </c>
      <c r="AP37" s="4" t="str">
        <f>VLOOKUP(AN37,'Team Hub'!$B$1:$F$65,5,false)</f>
        <v/>
      </c>
      <c r="AQ37" s="5" t="s">
        <v>89</v>
      </c>
      <c r="AR37" s="5">
        <f>VLOOKUP(AQ37,'Team Hub'!$B$1:$F$65,4,false)</f>
        <v>0</v>
      </c>
      <c r="AS37" s="4" t="str">
        <f>VLOOKUP(AQ37,'Team Hub'!$B$1:$F$65,5,false)</f>
        <v/>
      </c>
      <c r="AT37" s="5" t="s">
        <v>129</v>
      </c>
      <c r="AU37" s="5">
        <f>VLOOKUP(AT37,'Team Hub'!$B$1:$F$65,4,false)</f>
        <v>0</v>
      </c>
      <c r="AV37" s="4" t="str">
        <f>VLOOKUP(AT37,'Team Hub'!$B$1:$F$65,5,false)</f>
        <v/>
      </c>
      <c r="AW37" s="5" t="s">
        <v>95</v>
      </c>
      <c r="AX37" s="5">
        <f>VLOOKUP(AW37,'Team Hub'!$B$1:$F$65,4,false)</f>
        <v>0</v>
      </c>
      <c r="AY37" s="4" t="str">
        <f>VLOOKUP(AW37,'Team Hub'!$B$1:$F$65,5,false)</f>
        <v/>
      </c>
      <c r="AZ37" s="4" t="s">
        <v>69</v>
      </c>
    </row>
    <row r="38" ht="22.5" customHeight="1">
      <c r="A38" s="4" t="s">
        <v>153</v>
      </c>
      <c r="B38" s="2">
        <f t="shared" ref="B38:C38" si="37">sum(E38+H38+K38+N38+Q38+T38+W38+Z38+AC38+AF38+AI38+AL38+AO38+AR38+AU38+AX38)</f>
        <v>2480</v>
      </c>
      <c r="C38" s="2">
        <f t="shared" si="37"/>
        <v>1</v>
      </c>
      <c r="D38" s="4" t="s">
        <v>71</v>
      </c>
      <c r="E38" s="4">
        <f>VLOOKUP(D38,'Team Hub'!$B$1:$F$65,4,false)</f>
        <v>600</v>
      </c>
      <c r="F38" s="4">
        <f>VLOOKUP(D38,'Team Hub'!$B$1:$F$65,5,false)</f>
        <v>1</v>
      </c>
      <c r="G38" s="5" t="s">
        <v>54</v>
      </c>
      <c r="H38" s="5">
        <f>VLOOKUP(G38,'Team Hub'!$B$1:$F$65,4,false)</f>
        <v>330</v>
      </c>
      <c r="I38" s="4" t="str">
        <f>VLOOKUP(G38,'Team Hub'!$B$1:$F$65,5,false)</f>
        <v/>
      </c>
      <c r="J38" s="5" t="s">
        <v>55</v>
      </c>
      <c r="K38" s="5">
        <f>VLOOKUP(J38,'Team Hub'!$B$1:$F$65,4,false)</f>
        <v>360</v>
      </c>
      <c r="L38" s="4" t="str">
        <f>VLOOKUP(J38,'Team Hub'!$B$1:$F$65,5,false)</f>
        <v/>
      </c>
      <c r="M38" s="5" t="s">
        <v>142</v>
      </c>
      <c r="N38" s="5">
        <f>VLOOKUP(M38,'Team Hub'!$B$1:$F$65,4,false)</f>
        <v>130</v>
      </c>
      <c r="O38" s="5" t="str">
        <f>VLOOKUP(M38,'Team Hub'!$B$1:$F$65,5,false)</f>
        <v/>
      </c>
      <c r="P38" s="5" t="s">
        <v>132</v>
      </c>
      <c r="Q38" s="5">
        <f>VLOOKUP(P38,'Team Hub'!$B$1:$F$65,4,false)</f>
        <v>0</v>
      </c>
      <c r="R38" s="5" t="str">
        <f>VLOOKUP(P38,'Team Hub'!$B$1:$F$65,5,false)</f>
        <v/>
      </c>
      <c r="S38" s="5" t="s">
        <v>82</v>
      </c>
      <c r="T38" s="5">
        <f>VLOOKUP(S38,'Team Hub'!$B$1:$F$65,4,false)</f>
        <v>300</v>
      </c>
      <c r="U38" s="5" t="str">
        <f>VLOOKUP(S38,'Team Hub'!$B$1:$F$65,5,false)</f>
        <v/>
      </c>
      <c r="V38" s="5" t="s">
        <v>83</v>
      </c>
      <c r="W38" s="5">
        <f>VLOOKUP(V38,'Team Hub'!$B$1:$F$65,4,false)</f>
        <v>0</v>
      </c>
      <c r="X38" s="5" t="str">
        <f>VLOOKUP(V38,'Team Hub'!$B$1:$F$65,5,false)</f>
        <v/>
      </c>
      <c r="Y38" s="5" t="s">
        <v>76</v>
      </c>
      <c r="Z38" s="5">
        <f>VLOOKUP(Y38,'Team Hub'!$B$1:$F$65,4,false)</f>
        <v>170</v>
      </c>
      <c r="AA38" s="4" t="str">
        <f>VLOOKUP(Y38,'Team Hub'!$B$1:$F$65,5,false)</f>
        <v/>
      </c>
      <c r="AB38" s="5" t="s">
        <v>94</v>
      </c>
      <c r="AC38" s="5">
        <f>VLOOKUP(AB38,'Team Hub'!$B$1:$F$65,4,false)</f>
        <v>180</v>
      </c>
      <c r="AD38" s="4" t="str">
        <f>VLOOKUP(AB38,'Team Hub'!$B$1:$F$65,5,false)</f>
        <v/>
      </c>
      <c r="AE38" s="5" t="s">
        <v>154</v>
      </c>
      <c r="AF38" s="5">
        <f>VLOOKUP(AE38,'Team Hub'!$B$1:$F$65,4,false)</f>
        <v>0</v>
      </c>
      <c r="AG38" s="4" t="str">
        <f>VLOOKUP(AE38,'Team Hub'!$B$1:$F$65,5,false)</f>
        <v/>
      </c>
      <c r="AH38" s="5" t="s">
        <v>86</v>
      </c>
      <c r="AI38" s="5">
        <f>VLOOKUP(AH38,'Team Hub'!$B$1:$F$65,4,false)</f>
        <v>200</v>
      </c>
      <c r="AJ38" s="4" t="str">
        <f>VLOOKUP(AH38,'Team Hub'!$B$1:$F$65,5,false)</f>
        <v/>
      </c>
      <c r="AK38" s="5" t="s">
        <v>64</v>
      </c>
      <c r="AL38" s="5">
        <f>VLOOKUP(AK38,'Team Hub'!$B$1:$F$65,4,false)</f>
        <v>210</v>
      </c>
      <c r="AM38" s="4" t="str">
        <f>VLOOKUP(AK38,'Team Hub'!$B$1:$F$65,5,false)</f>
        <v/>
      </c>
      <c r="AN38" s="5" t="s">
        <v>77</v>
      </c>
      <c r="AO38" s="5">
        <f>VLOOKUP(AN38,'Team Hub'!$B$1:$F$65,4,false)</f>
        <v>0</v>
      </c>
      <c r="AP38" s="4" t="str">
        <f>VLOOKUP(AN38,'Team Hub'!$B$1:$F$65,5,false)</f>
        <v/>
      </c>
      <c r="AQ38" s="5" t="s">
        <v>66</v>
      </c>
      <c r="AR38" s="5">
        <f>VLOOKUP(AQ38,'Team Hub'!$B$1:$F$65,4,false)</f>
        <v>0</v>
      </c>
      <c r="AS38" s="4" t="str">
        <f>VLOOKUP(AQ38,'Team Hub'!$B$1:$F$65,5,false)</f>
        <v/>
      </c>
      <c r="AT38" s="5" t="s">
        <v>67</v>
      </c>
      <c r="AU38" s="5">
        <f>VLOOKUP(AT38,'Team Hub'!$B$1:$F$65,4,false)</f>
        <v>0</v>
      </c>
      <c r="AV38" s="4" t="str">
        <f>VLOOKUP(AT38,'Team Hub'!$B$1:$F$65,5,false)</f>
        <v/>
      </c>
      <c r="AW38" s="5" t="s">
        <v>68</v>
      </c>
      <c r="AX38" s="5">
        <f>VLOOKUP(AW38,'Team Hub'!$B$1:$F$65,4,false)</f>
        <v>0</v>
      </c>
      <c r="AY38" s="4" t="str">
        <f>VLOOKUP(AW38,'Team Hub'!$B$1:$F$65,5,false)</f>
        <v/>
      </c>
      <c r="AZ38" s="4" t="s">
        <v>69</v>
      </c>
    </row>
    <row r="39" ht="22.5" customHeight="1">
      <c r="A39" s="4" t="s">
        <v>155</v>
      </c>
      <c r="B39" s="2">
        <f t="shared" ref="B39:C39" si="38">sum(E39+H39+K39+N39+Q39+T39+W39+Z39+AC39+AF39+AI39+AL39+AO39+AR39+AU39+AX39)</f>
        <v>2470</v>
      </c>
      <c r="C39" s="2">
        <f t="shared" si="38"/>
        <v>0</v>
      </c>
      <c r="D39" s="5" t="s">
        <v>125</v>
      </c>
      <c r="E39" s="5">
        <f>VLOOKUP(D39,'Team Hub'!$B$1:$F$65,4,false)</f>
        <v>500</v>
      </c>
      <c r="F39" s="4" t="str">
        <f>VLOOKUP(D39,'Team Hub'!$B$1:$F$65,5,false)</f>
        <v/>
      </c>
      <c r="G39" s="5" t="s">
        <v>109</v>
      </c>
      <c r="H39" s="5">
        <f>VLOOKUP(G39,'Team Hub'!$B$1:$F$65,4,false)</f>
        <v>110</v>
      </c>
      <c r="I39" s="4" t="str">
        <f>VLOOKUP(G39,'Team Hub'!$B$1:$F$65,5,false)</f>
        <v/>
      </c>
      <c r="J39" s="5" t="s">
        <v>55</v>
      </c>
      <c r="K39" s="5">
        <f>VLOOKUP(J39,'Team Hub'!$B$1:$F$65,4,false)</f>
        <v>360</v>
      </c>
      <c r="L39" s="4" t="str">
        <f>VLOOKUP(J39,'Team Hub'!$B$1:$F$65,5,false)</f>
        <v/>
      </c>
      <c r="M39" s="5" t="s">
        <v>97</v>
      </c>
      <c r="N39" s="5">
        <f>VLOOKUP(M39,'Team Hub'!$B$1:$F$65,4,false)</f>
        <v>260</v>
      </c>
      <c r="O39" s="5" t="str">
        <f>VLOOKUP(M39,'Team Hub'!$B$1:$F$65,5,false)</f>
        <v/>
      </c>
      <c r="P39" s="5" t="s">
        <v>136</v>
      </c>
      <c r="Q39" s="5">
        <f>VLOOKUP(P39,'Team Hub'!$B$1:$F$65,4,false)</f>
        <v>0</v>
      </c>
      <c r="R39" s="5" t="str">
        <f>VLOOKUP(P39,'Team Hub'!$B$1:$F$65,5,false)</f>
        <v/>
      </c>
      <c r="S39" s="5" t="s">
        <v>58</v>
      </c>
      <c r="T39" s="5">
        <f>VLOOKUP(S39,'Team Hub'!$B$1:$F$65,4,false)</f>
        <v>300</v>
      </c>
      <c r="U39" s="5" t="str">
        <f>VLOOKUP(S39,'Team Hub'!$B$1:$F$65,5,false)</f>
        <v/>
      </c>
      <c r="V39" s="5" t="s">
        <v>75</v>
      </c>
      <c r="W39" s="5">
        <f>VLOOKUP(V39,'Team Hub'!$B$1:$F$65,4,false)</f>
        <v>0</v>
      </c>
      <c r="X39" s="5" t="str">
        <f>VLOOKUP(V39,'Team Hub'!$B$1:$F$65,5,false)</f>
        <v/>
      </c>
      <c r="Y39" s="5" t="s">
        <v>76</v>
      </c>
      <c r="Z39" s="5">
        <f>VLOOKUP(Y39,'Team Hub'!$B$1:$F$65,4,false)</f>
        <v>170</v>
      </c>
      <c r="AA39" s="4" t="str">
        <f>VLOOKUP(Y39,'Team Hub'!$B$1:$F$65,5,false)</f>
        <v/>
      </c>
      <c r="AB39" s="5" t="s">
        <v>61</v>
      </c>
      <c r="AC39" s="5">
        <f>VLOOKUP(AB39,'Team Hub'!$B$1:$F$65,4,false)</f>
        <v>180</v>
      </c>
      <c r="AD39" s="4" t="str">
        <f>VLOOKUP(AB39,'Team Hub'!$B$1:$F$65,5,false)</f>
        <v/>
      </c>
      <c r="AE39" s="5" t="s">
        <v>62</v>
      </c>
      <c r="AF39" s="5">
        <f>VLOOKUP(AE39,'Team Hub'!$B$1:$F$65,4,false)</f>
        <v>380</v>
      </c>
      <c r="AG39" s="4" t="str">
        <f>VLOOKUP(AE39,'Team Hub'!$B$1:$F$65,5,false)</f>
        <v/>
      </c>
      <c r="AH39" s="5" t="s">
        <v>63</v>
      </c>
      <c r="AI39" s="5">
        <f>VLOOKUP(AH39,'Team Hub'!$B$1:$F$65,4,false)</f>
        <v>0</v>
      </c>
      <c r="AJ39" s="4" t="str">
        <f>VLOOKUP(AH39,'Team Hub'!$B$1:$F$65,5,false)</f>
        <v/>
      </c>
      <c r="AK39" s="5" t="s">
        <v>87</v>
      </c>
      <c r="AL39" s="5">
        <f>VLOOKUP(AK39,'Team Hub'!$B$1:$F$65,4,false)</f>
        <v>210</v>
      </c>
      <c r="AM39" s="4" t="str">
        <f>VLOOKUP(AK39,'Team Hub'!$B$1:$F$65,5,false)</f>
        <v/>
      </c>
      <c r="AN39" s="5" t="s">
        <v>110</v>
      </c>
      <c r="AO39" s="5">
        <f>VLOOKUP(AN39,'Team Hub'!$B$1:$F$65,4,false)</f>
        <v>0</v>
      </c>
      <c r="AP39" s="4" t="str">
        <f>VLOOKUP(AN39,'Team Hub'!$B$1:$F$65,5,false)</f>
        <v/>
      </c>
      <c r="AQ39" s="5" t="s">
        <v>117</v>
      </c>
      <c r="AR39" s="5">
        <f>VLOOKUP(AQ39,'Team Hub'!$B$1:$F$65,4,false)</f>
        <v>0</v>
      </c>
      <c r="AS39" s="4" t="str">
        <f>VLOOKUP(AQ39,'Team Hub'!$B$1:$F$65,5,false)</f>
        <v/>
      </c>
      <c r="AT39" s="5" t="s">
        <v>105</v>
      </c>
      <c r="AU39" s="5">
        <f>VLOOKUP(AT39,'Team Hub'!$B$1:$F$65,4,false)</f>
        <v>0</v>
      </c>
      <c r="AV39" s="5" t="str">
        <f>VLOOKUP(AT39,'Team Hub'!$B$1:$F$65,5,false)</f>
        <v/>
      </c>
      <c r="AW39" s="5" t="s">
        <v>68</v>
      </c>
      <c r="AX39" s="5">
        <f>VLOOKUP(AW39,'Team Hub'!$B$1:$F$65,4,false)</f>
        <v>0</v>
      </c>
      <c r="AY39" s="4" t="str">
        <f>VLOOKUP(AW39,'Team Hub'!$B$1:$F$65,5,false)</f>
        <v/>
      </c>
      <c r="AZ39" s="4" t="s">
        <v>69</v>
      </c>
    </row>
    <row r="40" ht="22.5" customHeight="1">
      <c r="A40" s="4" t="s">
        <v>156</v>
      </c>
      <c r="B40" s="2">
        <f t="shared" ref="B40:C40" si="39">sum(E40+H40+K40+N40+Q40+T40+W40+Z40+AC40+AF40+AI40+AL40+AO40+AR40+AU40+AX40)</f>
        <v>2470</v>
      </c>
      <c r="C40" s="2">
        <f t="shared" si="39"/>
        <v>0</v>
      </c>
      <c r="D40" s="5" t="s">
        <v>125</v>
      </c>
      <c r="E40" s="5">
        <f>VLOOKUP(D40,'Team Hub'!$B$1:$F$65,4,false)</f>
        <v>500</v>
      </c>
      <c r="F40" s="4" t="str">
        <f>VLOOKUP(D40,'Team Hub'!$B$1:$F$65,5,false)</f>
        <v/>
      </c>
      <c r="G40" s="5" t="s">
        <v>54</v>
      </c>
      <c r="H40" s="5">
        <f>VLOOKUP(G40,'Team Hub'!$B$1:$F$65,4,false)</f>
        <v>330</v>
      </c>
      <c r="I40" s="4" t="str">
        <f>VLOOKUP(G40,'Team Hub'!$B$1:$F$65,5,false)</f>
        <v/>
      </c>
      <c r="J40" s="5" t="s">
        <v>55</v>
      </c>
      <c r="K40" s="5">
        <f>VLOOKUP(J40,'Team Hub'!$B$1:$F$65,4,false)</f>
        <v>360</v>
      </c>
      <c r="L40" s="4" t="str">
        <f>VLOOKUP(J40,'Team Hub'!$B$1:$F$65,5,false)</f>
        <v/>
      </c>
      <c r="M40" s="5" t="s">
        <v>56</v>
      </c>
      <c r="N40" s="5">
        <f>VLOOKUP(M40,'Team Hub'!$B$1:$F$65,4,false)</f>
        <v>260</v>
      </c>
      <c r="O40" s="5" t="str">
        <f>VLOOKUP(M40,'Team Hub'!$B$1:$F$65,5,false)</f>
        <v/>
      </c>
      <c r="P40" s="5" t="s">
        <v>132</v>
      </c>
      <c r="Q40" s="5">
        <f>VLOOKUP(P40,'Team Hub'!$B$1:$F$65,4,false)</f>
        <v>0</v>
      </c>
      <c r="R40" s="5" t="str">
        <f>VLOOKUP(P40,'Team Hub'!$B$1:$F$65,5,false)</f>
        <v/>
      </c>
      <c r="S40" s="5" t="s">
        <v>82</v>
      </c>
      <c r="T40" s="5">
        <f>VLOOKUP(S40,'Team Hub'!$B$1:$F$65,4,false)</f>
        <v>300</v>
      </c>
      <c r="U40" s="5" t="str">
        <f>VLOOKUP(S40,'Team Hub'!$B$1:$F$65,5,false)</f>
        <v/>
      </c>
      <c r="V40" s="5" t="s">
        <v>59</v>
      </c>
      <c r="W40" s="5">
        <f>VLOOKUP(V40,'Team Hub'!$B$1:$F$65,4,false)</f>
        <v>160</v>
      </c>
      <c r="X40" s="5" t="str">
        <f>VLOOKUP(V40,'Team Hub'!$B$1:$F$65,5,false)</f>
        <v/>
      </c>
      <c r="Y40" s="5" t="s">
        <v>76</v>
      </c>
      <c r="Z40" s="5">
        <f>VLOOKUP(Y40,'Team Hub'!$B$1:$F$65,4,false)</f>
        <v>170</v>
      </c>
      <c r="AA40" s="4" t="str">
        <f>VLOOKUP(Y40,'Team Hub'!$B$1:$F$65,5,false)</f>
        <v/>
      </c>
      <c r="AB40" s="5" t="s">
        <v>94</v>
      </c>
      <c r="AC40" s="5">
        <f>VLOOKUP(AB40,'Team Hub'!$B$1:$F$65,4,false)</f>
        <v>180</v>
      </c>
      <c r="AD40" s="4" t="str">
        <f>VLOOKUP(AB40,'Team Hub'!$B$1:$F$65,5,false)</f>
        <v/>
      </c>
      <c r="AE40" s="5" t="s">
        <v>154</v>
      </c>
      <c r="AF40" s="5">
        <f>VLOOKUP(AE40,'Team Hub'!$B$1:$F$65,4,false)</f>
        <v>0</v>
      </c>
      <c r="AG40" s="4" t="str">
        <f>VLOOKUP(AE40,'Team Hub'!$B$1:$F$65,5,false)</f>
        <v/>
      </c>
      <c r="AH40" s="5" t="s">
        <v>98</v>
      </c>
      <c r="AI40" s="5">
        <f>VLOOKUP(AH40,'Team Hub'!$B$1:$F$65,4,false)</f>
        <v>0</v>
      </c>
      <c r="AJ40" s="4" t="str">
        <f>VLOOKUP(AH40,'Team Hub'!$B$1:$F$65,5,false)</f>
        <v/>
      </c>
      <c r="AK40" s="5" t="s">
        <v>64</v>
      </c>
      <c r="AL40" s="5">
        <f>VLOOKUP(AK40,'Team Hub'!$B$1:$F$65,4,false)</f>
        <v>210</v>
      </c>
      <c r="AM40" s="4" t="str">
        <f>VLOOKUP(AK40,'Team Hub'!$B$1:$F$65,5,false)</f>
        <v/>
      </c>
      <c r="AN40" s="5" t="s">
        <v>88</v>
      </c>
      <c r="AO40" s="5">
        <f>VLOOKUP(AN40,'Team Hub'!$B$1:$F$65,4,false)</f>
        <v>0</v>
      </c>
      <c r="AP40" s="4" t="str">
        <f>VLOOKUP(AN40,'Team Hub'!$B$1:$F$65,5,false)</f>
        <v/>
      </c>
      <c r="AQ40" s="5" t="s">
        <v>89</v>
      </c>
      <c r="AR40" s="5">
        <f>VLOOKUP(AQ40,'Team Hub'!$B$1:$F$65,4,false)</f>
        <v>0</v>
      </c>
      <c r="AS40" s="4" t="str">
        <f>VLOOKUP(AQ40,'Team Hub'!$B$1:$F$65,5,false)</f>
        <v/>
      </c>
      <c r="AT40" s="5" t="s">
        <v>105</v>
      </c>
      <c r="AU40" s="5">
        <f>VLOOKUP(AT40,'Team Hub'!$B$1:$F$65,4,false)</f>
        <v>0</v>
      </c>
      <c r="AV40" s="5" t="str">
        <f>VLOOKUP(AT40,'Team Hub'!$B$1:$F$65,5,false)</f>
        <v/>
      </c>
      <c r="AW40" s="5" t="s">
        <v>68</v>
      </c>
      <c r="AX40" s="5">
        <f>VLOOKUP(AW40,'Team Hub'!$B$1:$F$65,4,false)</f>
        <v>0</v>
      </c>
      <c r="AY40" s="4" t="str">
        <f>VLOOKUP(AW40,'Team Hub'!$B$1:$F$65,5,false)</f>
        <v/>
      </c>
      <c r="AZ40" s="4" t="s">
        <v>69</v>
      </c>
    </row>
    <row r="41" ht="22.5" customHeight="1">
      <c r="A41" s="4" t="s">
        <v>157</v>
      </c>
      <c r="B41" s="2">
        <f t="shared" ref="B41:C41" si="40">sum(E41+H41+K41+N41+Q41+T41+W41+Z41+AC41+AF41+AI41+AL41+AO41+AR41+AU41+AX41)</f>
        <v>2460</v>
      </c>
      <c r="C41" s="2">
        <f t="shared" si="40"/>
        <v>0</v>
      </c>
      <c r="D41" s="5" t="s">
        <v>53</v>
      </c>
      <c r="E41" s="5">
        <f>VLOOKUP(D41,'Team Hub'!$B$1:$F$65,4,false)</f>
        <v>400</v>
      </c>
      <c r="F41" s="4" t="str">
        <f>VLOOKUP(D41,'Team Hub'!$B$1:$F$65,5,false)</f>
        <v/>
      </c>
      <c r="G41" s="5" t="s">
        <v>81</v>
      </c>
      <c r="H41" s="5">
        <f>VLOOKUP(G41,'Team Hub'!$B$1:$F$65,4,false)</f>
        <v>330</v>
      </c>
      <c r="I41" s="4" t="str">
        <f>VLOOKUP(G41,'Team Hub'!$B$1:$F$65,5,false)</f>
        <v/>
      </c>
      <c r="J41" s="5" t="s">
        <v>55</v>
      </c>
      <c r="K41" s="5">
        <f>VLOOKUP(J41,'Team Hub'!$B$1:$F$65,4,false)</f>
        <v>360</v>
      </c>
      <c r="L41" s="4" t="str">
        <f>VLOOKUP(J41,'Team Hub'!$B$1:$F$65,5,false)</f>
        <v/>
      </c>
      <c r="M41" s="5" t="s">
        <v>142</v>
      </c>
      <c r="N41" s="5">
        <f>VLOOKUP(M41,'Team Hub'!$B$1:$F$65,4,false)</f>
        <v>130</v>
      </c>
      <c r="O41" s="5" t="str">
        <f>VLOOKUP(M41,'Team Hub'!$B$1:$F$65,5,false)</f>
        <v/>
      </c>
      <c r="P41" s="5" t="s">
        <v>132</v>
      </c>
      <c r="Q41" s="5">
        <f>VLOOKUP(P41,'Team Hub'!$B$1:$F$65,4,false)</f>
        <v>0</v>
      </c>
      <c r="R41" s="5" t="str">
        <f>VLOOKUP(P41,'Team Hub'!$B$1:$F$65,5,false)</f>
        <v/>
      </c>
      <c r="S41" s="5" t="s">
        <v>58</v>
      </c>
      <c r="T41" s="5">
        <f>VLOOKUP(S41,'Team Hub'!$B$1:$F$65,4,false)</f>
        <v>300</v>
      </c>
      <c r="U41" s="5" t="str">
        <f>VLOOKUP(S41,'Team Hub'!$B$1:$F$65,5,false)</f>
        <v/>
      </c>
      <c r="V41" s="5" t="s">
        <v>93</v>
      </c>
      <c r="W41" s="5">
        <f>VLOOKUP(V41,'Team Hub'!$B$1:$F$65,4,false)</f>
        <v>160</v>
      </c>
      <c r="X41" s="5" t="str">
        <f>VLOOKUP(V41,'Team Hub'!$B$1:$F$65,5,false)</f>
        <v/>
      </c>
      <c r="Y41" s="5" t="s">
        <v>126</v>
      </c>
      <c r="Z41" s="5">
        <f>VLOOKUP(Y41,'Team Hub'!$B$1:$F$65,4,false)</f>
        <v>0</v>
      </c>
      <c r="AA41" s="4" t="str">
        <f>VLOOKUP(Y41,'Team Hub'!$B$1:$F$65,5,false)</f>
        <v/>
      </c>
      <c r="AB41" s="5" t="s">
        <v>94</v>
      </c>
      <c r="AC41" s="5">
        <f>VLOOKUP(AB41,'Team Hub'!$B$1:$F$65,4,false)</f>
        <v>180</v>
      </c>
      <c r="AD41" s="4" t="str">
        <f>VLOOKUP(AB41,'Team Hub'!$B$1:$F$65,5,false)</f>
        <v/>
      </c>
      <c r="AE41" s="5" t="s">
        <v>85</v>
      </c>
      <c r="AF41" s="5">
        <f>VLOOKUP(AE41,'Team Hub'!$B$1:$F$65,4,false)</f>
        <v>190</v>
      </c>
      <c r="AG41" s="4" t="str">
        <f>VLOOKUP(AE41,'Team Hub'!$B$1:$F$65,5,false)</f>
        <v/>
      </c>
      <c r="AH41" s="5" t="s">
        <v>86</v>
      </c>
      <c r="AI41" s="5">
        <f>VLOOKUP(AH41,'Team Hub'!$B$1:$F$65,4,false)</f>
        <v>200</v>
      </c>
      <c r="AJ41" s="4" t="str">
        <f>VLOOKUP(AH41,'Team Hub'!$B$1:$F$65,5,false)</f>
        <v/>
      </c>
      <c r="AK41" s="5" t="s">
        <v>64</v>
      </c>
      <c r="AL41" s="5">
        <f>VLOOKUP(AK41,'Team Hub'!$B$1:$F$65,4,false)</f>
        <v>210</v>
      </c>
      <c r="AM41" s="4" t="str">
        <f>VLOOKUP(AK41,'Team Hub'!$B$1:$F$65,5,false)</f>
        <v/>
      </c>
      <c r="AN41" s="5" t="s">
        <v>65</v>
      </c>
      <c r="AO41" s="5">
        <f>VLOOKUP(AN41,'Team Hub'!$B$1:$F$65,4,false)</f>
        <v>0</v>
      </c>
      <c r="AP41" s="4" t="str">
        <f>VLOOKUP(AN41,'Team Hub'!$B$1:$F$65,5,false)</f>
        <v/>
      </c>
      <c r="AQ41" s="5" t="s">
        <v>66</v>
      </c>
      <c r="AR41" s="5">
        <f>VLOOKUP(AQ41,'Team Hub'!$B$1:$F$65,4,false)</f>
        <v>0</v>
      </c>
      <c r="AS41" s="4" t="str">
        <f>VLOOKUP(AQ41,'Team Hub'!$B$1:$F$65,5,false)</f>
        <v/>
      </c>
      <c r="AT41" s="5" t="s">
        <v>67</v>
      </c>
      <c r="AU41" s="5">
        <f>VLOOKUP(AT41,'Team Hub'!$B$1:$F$65,4,false)</f>
        <v>0</v>
      </c>
      <c r="AV41" s="4" t="str">
        <f>VLOOKUP(AT41,'Team Hub'!$B$1:$F$65,5,false)</f>
        <v/>
      </c>
      <c r="AW41" s="5" t="s">
        <v>99</v>
      </c>
      <c r="AX41" s="5">
        <f>VLOOKUP(AW41,'Team Hub'!$B$1:$F$65,4,false)</f>
        <v>0</v>
      </c>
      <c r="AY41" s="4" t="str">
        <f>VLOOKUP(AW41,'Team Hub'!$B$1:$F$65,5,false)</f>
        <v/>
      </c>
      <c r="AZ41" s="4" t="s">
        <v>69</v>
      </c>
    </row>
    <row r="42" ht="22.5" customHeight="1">
      <c r="A42" s="4" t="s">
        <v>158</v>
      </c>
      <c r="B42" s="2">
        <f t="shared" ref="B42:C42" si="41">sum(E42+H42+K42+N42+Q42+T42+W42+Z42+AC42+AF42+AI42+AL42+AO42+AR42+AU42+AX42)</f>
        <v>2460</v>
      </c>
      <c r="C42" s="2">
        <f t="shared" si="41"/>
        <v>1</v>
      </c>
      <c r="D42" s="4" t="s">
        <v>71</v>
      </c>
      <c r="E42" s="4">
        <f>VLOOKUP(D42,'Team Hub'!$B$1:$F$65,4,false)</f>
        <v>600</v>
      </c>
      <c r="F42" s="4">
        <f>VLOOKUP(D42,'Team Hub'!$B$1:$F$65,5,false)</f>
        <v>1</v>
      </c>
      <c r="G42" s="5" t="s">
        <v>54</v>
      </c>
      <c r="H42" s="5">
        <f>VLOOKUP(G42,'Team Hub'!$B$1:$F$65,4,false)</f>
        <v>330</v>
      </c>
      <c r="I42" s="4" t="str">
        <f>VLOOKUP(G42,'Team Hub'!$B$1:$F$65,5,false)</f>
        <v/>
      </c>
      <c r="J42" s="5" t="s">
        <v>101</v>
      </c>
      <c r="K42" s="5">
        <f>VLOOKUP(J42,'Team Hub'!$B$1:$F$65,4,false)</f>
        <v>120</v>
      </c>
      <c r="L42" s="4" t="str">
        <f>VLOOKUP(J42,'Team Hub'!$B$1:$F$65,5,false)</f>
        <v/>
      </c>
      <c r="M42" s="5" t="s">
        <v>97</v>
      </c>
      <c r="N42" s="5">
        <f>VLOOKUP(M42,'Team Hub'!$B$1:$F$65,4,false)</f>
        <v>260</v>
      </c>
      <c r="O42" s="5" t="str">
        <f>VLOOKUP(M42,'Team Hub'!$B$1:$F$65,5,false)</f>
        <v/>
      </c>
      <c r="P42" s="5" t="s">
        <v>57</v>
      </c>
      <c r="Q42" s="5">
        <f>VLOOKUP(P42,'Team Hub'!$B$1:$F$65,4,false)</f>
        <v>280</v>
      </c>
      <c r="R42" s="5" t="str">
        <f>VLOOKUP(P42,'Team Hub'!$B$1:$F$65,5,false)</f>
        <v/>
      </c>
      <c r="S42" s="5" t="s">
        <v>92</v>
      </c>
      <c r="T42" s="5">
        <f>VLOOKUP(S42,'Team Hub'!$B$1:$F$65,4,false)</f>
        <v>150</v>
      </c>
      <c r="U42" s="5" t="str">
        <f>VLOOKUP(S42,'Team Hub'!$B$1:$F$65,5,false)</f>
        <v/>
      </c>
      <c r="V42" s="5" t="s">
        <v>93</v>
      </c>
      <c r="W42" s="5">
        <f>VLOOKUP(V42,'Team Hub'!$B$1:$F$65,4,false)</f>
        <v>160</v>
      </c>
      <c r="X42" s="5" t="str">
        <f>VLOOKUP(V42,'Team Hub'!$B$1:$F$65,5,false)</f>
        <v/>
      </c>
      <c r="Y42" s="5" t="s">
        <v>76</v>
      </c>
      <c r="Z42" s="5">
        <f>VLOOKUP(Y42,'Team Hub'!$B$1:$F$65,4,false)</f>
        <v>170</v>
      </c>
      <c r="AA42" s="4" t="str">
        <f>VLOOKUP(Y42,'Team Hub'!$B$1:$F$65,5,false)</f>
        <v/>
      </c>
      <c r="AB42" s="5" t="s">
        <v>114</v>
      </c>
      <c r="AC42" s="5">
        <f>VLOOKUP(AB42,'Team Hub'!$B$1:$F$65,4,false)</f>
        <v>0</v>
      </c>
      <c r="AD42" s="4" t="str">
        <f>VLOOKUP(AB42,'Team Hub'!$B$1:$F$65,5,false)</f>
        <v/>
      </c>
      <c r="AE42" s="5" t="s">
        <v>85</v>
      </c>
      <c r="AF42" s="5">
        <f>VLOOKUP(AE42,'Team Hub'!$B$1:$F$65,4,false)</f>
        <v>190</v>
      </c>
      <c r="AG42" s="4" t="str">
        <f>VLOOKUP(AE42,'Team Hub'!$B$1:$F$65,5,false)</f>
        <v/>
      </c>
      <c r="AH42" s="5" t="s">
        <v>86</v>
      </c>
      <c r="AI42" s="5">
        <f>VLOOKUP(AH42,'Team Hub'!$B$1:$F$65,4,false)</f>
        <v>200</v>
      </c>
      <c r="AJ42" s="4" t="str">
        <f>VLOOKUP(AH42,'Team Hub'!$B$1:$F$65,5,false)</f>
        <v/>
      </c>
      <c r="AK42" s="5" t="s">
        <v>107</v>
      </c>
      <c r="AL42" s="5">
        <f>VLOOKUP(AK42,'Team Hub'!$B$1:$F$65,4,false)</f>
        <v>0</v>
      </c>
      <c r="AM42" s="4" t="str">
        <f>VLOOKUP(AK42,'Team Hub'!$B$1:$F$65,5,false)</f>
        <v/>
      </c>
      <c r="AN42" s="5" t="s">
        <v>88</v>
      </c>
      <c r="AO42" s="5">
        <f>VLOOKUP(AN42,'Team Hub'!$B$1:$F$65,4,false)</f>
        <v>0</v>
      </c>
      <c r="AP42" s="4" t="str">
        <f>VLOOKUP(AN42,'Team Hub'!$B$1:$F$65,5,false)</f>
        <v/>
      </c>
      <c r="AQ42" s="5" t="s">
        <v>117</v>
      </c>
      <c r="AR42" s="5">
        <f>VLOOKUP(AQ42,'Team Hub'!$B$1:$F$65,4,false)</f>
        <v>0</v>
      </c>
      <c r="AS42" s="4" t="str">
        <f>VLOOKUP(AQ42,'Team Hub'!$B$1:$F$65,5,false)</f>
        <v/>
      </c>
      <c r="AT42" s="5" t="s">
        <v>105</v>
      </c>
      <c r="AU42" s="5">
        <f>VLOOKUP(AT42,'Team Hub'!$B$1:$F$65,4,false)</f>
        <v>0</v>
      </c>
      <c r="AV42" s="5" t="str">
        <f>VLOOKUP(AT42,'Team Hub'!$B$1:$F$65,5,false)</f>
        <v/>
      </c>
      <c r="AW42" s="5" t="s">
        <v>99</v>
      </c>
      <c r="AX42" s="5">
        <f>VLOOKUP(AW42,'Team Hub'!$B$1:$F$65,4,false)</f>
        <v>0</v>
      </c>
      <c r="AY42" s="4" t="str">
        <f>VLOOKUP(AW42,'Team Hub'!$B$1:$F$65,5,false)</f>
        <v/>
      </c>
      <c r="AZ42" s="4" t="s">
        <v>119</v>
      </c>
    </row>
    <row r="43" ht="22.5" customHeight="1">
      <c r="A43" s="4" t="s">
        <v>159</v>
      </c>
      <c r="B43" s="2">
        <f t="shared" ref="B43:C43" si="42">sum(E43+H43+K43+N43+Q43+T43+W43+Z43+AC43+AF43+AI43+AL43+AO43+AR43+AU43+AX43)</f>
        <v>2460</v>
      </c>
      <c r="C43" s="2">
        <f t="shared" si="42"/>
        <v>0</v>
      </c>
      <c r="D43" s="5" t="s">
        <v>125</v>
      </c>
      <c r="E43" s="5">
        <f>VLOOKUP(D43,'Team Hub'!$B$1:$F$65,4,false)</f>
        <v>500</v>
      </c>
      <c r="F43" s="4" t="str">
        <f>VLOOKUP(D43,'Team Hub'!$B$1:$F$65,5,false)</f>
        <v/>
      </c>
      <c r="G43" s="5" t="s">
        <v>81</v>
      </c>
      <c r="H43" s="5">
        <f>VLOOKUP(G43,'Team Hub'!$B$1:$F$65,4,false)</f>
        <v>330</v>
      </c>
      <c r="I43" s="4" t="str">
        <f>VLOOKUP(G43,'Team Hub'!$B$1:$F$65,5,false)</f>
        <v/>
      </c>
      <c r="J43" s="5" t="s">
        <v>73</v>
      </c>
      <c r="K43" s="5">
        <f>VLOOKUP(J43,'Team Hub'!$B$1:$F$65,4,false)</f>
        <v>240</v>
      </c>
      <c r="L43" s="4" t="str">
        <f>VLOOKUP(J43,'Team Hub'!$B$1:$F$65,5,false)</f>
        <v/>
      </c>
      <c r="M43" s="5" t="s">
        <v>97</v>
      </c>
      <c r="N43" s="5">
        <f>VLOOKUP(M43,'Team Hub'!$B$1:$F$65,4,false)</f>
        <v>260</v>
      </c>
      <c r="O43" s="5" t="str">
        <f>VLOOKUP(M43,'Team Hub'!$B$1:$F$65,5,false)</f>
        <v/>
      </c>
      <c r="P43" s="5" t="s">
        <v>57</v>
      </c>
      <c r="Q43" s="5">
        <f>VLOOKUP(P43,'Team Hub'!$B$1:$F$65,4,false)</f>
        <v>280</v>
      </c>
      <c r="R43" s="5" t="str">
        <f>VLOOKUP(P43,'Team Hub'!$B$1:$F$65,5,false)</f>
        <v/>
      </c>
      <c r="S43" s="5" t="s">
        <v>58</v>
      </c>
      <c r="T43" s="5">
        <f>VLOOKUP(S43,'Team Hub'!$B$1:$F$65,4,false)</f>
        <v>300</v>
      </c>
      <c r="U43" s="5" t="str">
        <f>VLOOKUP(S43,'Team Hub'!$B$1:$F$65,5,false)</f>
        <v/>
      </c>
      <c r="V43" s="5" t="s">
        <v>93</v>
      </c>
      <c r="W43" s="5">
        <f>VLOOKUP(V43,'Team Hub'!$B$1:$F$65,4,false)</f>
        <v>160</v>
      </c>
      <c r="X43" s="5" t="str">
        <f>VLOOKUP(V43,'Team Hub'!$B$1:$F$65,5,false)</f>
        <v/>
      </c>
      <c r="Y43" s="5" t="s">
        <v>126</v>
      </c>
      <c r="Z43" s="5">
        <f>VLOOKUP(Y43,'Team Hub'!$B$1:$F$65,4,false)</f>
        <v>0</v>
      </c>
      <c r="AA43" s="4" t="str">
        <f>VLOOKUP(Y43,'Team Hub'!$B$1:$F$65,5,false)</f>
        <v/>
      </c>
      <c r="AB43" s="5" t="s">
        <v>61</v>
      </c>
      <c r="AC43" s="5">
        <f>VLOOKUP(AB43,'Team Hub'!$B$1:$F$65,4,false)</f>
        <v>180</v>
      </c>
      <c r="AD43" s="4" t="str">
        <f>VLOOKUP(AB43,'Team Hub'!$B$1:$F$65,5,false)</f>
        <v/>
      </c>
      <c r="AE43" s="5" t="s">
        <v>123</v>
      </c>
      <c r="AF43" s="5">
        <f>VLOOKUP(AE43,'Team Hub'!$B$1:$F$65,4,false)</f>
        <v>0</v>
      </c>
      <c r="AG43" s="4" t="str">
        <f>VLOOKUP(AE43,'Team Hub'!$B$1:$F$65,5,false)</f>
        <v/>
      </c>
      <c r="AH43" s="5" t="s">
        <v>98</v>
      </c>
      <c r="AI43" s="5">
        <f>VLOOKUP(AH43,'Team Hub'!$B$1:$F$65,4,false)</f>
        <v>0</v>
      </c>
      <c r="AJ43" s="4" t="str">
        <f>VLOOKUP(AH43,'Team Hub'!$B$1:$F$65,5,false)</f>
        <v/>
      </c>
      <c r="AK43" s="5" t="s">
        <v>87</v>
      </c>
      <c r="AL43" s="5">
        <f>VLOOKUP(AK43,'Team Hub'!$B$1:$F$65,4,false)</f>
        <v>210</v>
      </c>
      <c r="AM43" s="4" t="str">
        <f>VLOOKUP(AK43,'Team Hub'!$B$1:$F$65,5,false)</f>
        <v/>
      </c>
      <c r="AN43" s="5" t="s">
        <v>88</v>
      </c>
      <c r="AO43" s="5">
        <f>VLOOKUP(AN43,'Team Hub'!$B$1:$F$65,4,false)</f>
        <v>0</v>
      </c>
      <c r="AP43" s="4" t="str">
        <f>VLOOKUP(AN43,'Team Hub'!$B$1:$F$65,5,false)</f>
        <v/>
      </c>
      <c r="AQ43" s="5" t="s">
        <v>66</v>
      </c>
      <c r="AR43" s="5">
        <f>VLOOKUP(AQ43,'Team Hub'!$B$1:$F$65,4,false)</f>
        <v>0</v>
      </c>
      <c r="AS43" s="4" t="str">
        <f>VLOOKUP(AQ43,'Team Hub'!$B$1:$F$65,5,false)</f>
        <v/>
      </c>
      <c r="AT43" s="5" t="s">
        <v>67</v>
      </c>
      <c r="AU43" s="5">
        <f>VLOOKUP(AT43,'Team Hub'!$B$1:$F$65,4,false)</f>
        <v>0</v>
      </c>
      <c r="AV43" s="4" t="str">
        <f>VLOOKUP(AT43,'Team Hub'!$B$1:$F$65,5,false)</f>
        <v/>
      </c>
      <c r="AW43" s="5" t="s">
        <v>99</v>
      </c>
      <c r="AX43" s="5">
        <f>VLOOKUP(AW43,'Team Hub'!$B$1:$F$65,4,false)</f>
        <v>0</v>
      </c>
      <c r="AY43" s="4" t="str">
        <f>VLOOKUP(AW43,'Team Hub'!$B$1:$F$65,5,false)</f>
        <v/>
      </c>
      <c r="AZ43" s="4" t="s">
        <v>69</v>
      </c>
    </row>
    <row r="44" ht="22.5" customHeight="1">
      <c r="A44" s="4" t="s">
        <v>160</v>
      </c>
      <c r="B44" s="2">
        <f t="shared" ref="B44:C44" si="43">sum(E44+H44+K44+N44+Q44+T44+W44+Z44+AC44+AF44+AI44+AL44+AO44+AR44+AU44+AX44)</f>
        <v>2450</v>
      </c>
      <c r="C44" s="2">
        <f t="shared" si="43"/>
        <v>1</v>
      </c>
      <c r="D44" s="4" t="s">
        <v>71</v>
      </c>
      <c r="E44" s="4">
        <f>VLOOKUP(D44,'Team Hub'!$B$1:$F$65,4,false)</f>
        <v>600</v>
      </c>
      <c r="F44" s="4">
        <f>VLOOKUP(D44,'Team Hub'!$B$1:$F$65,5,false)</f>
        <v>1</v>
      </c>
      <c r="G44" s="5" t="s">
        <v>72</v>
      </c>
      <c r="H44" s="5">
        <f>VLOOKUP(G44,'Team Hub'!$B$1:$F$65,4,false)</f>
        <v>330</v>
      </c>
      <c r="I44" s="5" t="str">
        <f>VLOOKUP(G44,'Team Hub'!$B$1:$F$65,5,false)</f>
        <v/>
      </c>
      <c r="J44" s="5" t="s">
        <v>55</v>
      </c>
      <c r="K44" s="5">
        <f>VLOOKUP(J44,'Team Hub'!$B$1:$F$65,4,false)</f>
        <v>360</v>
      </c>
      <c r="L44" s="4" t="str">
        <f>VLOOKUP(J44,'Team Hub'!$B$1:$F$65,5,false)</f>
        <v/>
      </c>
      <c r="M44" s="5" t="s">
        <v>142</v>
      </c>
      <c r="N44" s="5">
        <f>VLOOKUP(M44,'Team Hub'!$B$1:$F$65,4,false)</f>
        <v>130</v>
      </c>
      <c r="O44" s="5" t="str">
        <f>VLOOKUP(M44,'Team Hub'!$B$1:$F$65,5,false)</f>
        <v/>
      </c>
      <c r="P44" s="5" t="s">
        <v>132</v>
      </c>
      <c r="Q44" s="5">
        <f>VLOOKUP(P44,'Team Hub'!$B$1:$F$65,4,false)</f>
        <v>0</v>
      </c>
      <c r="R44" s="5" t="str">
        <f>VLOOKUP(P44,'Team Hub'!$B$1:$F$65,5,false)</f>
        <v/>
      </c>
      <c r="S44" s="5" t="s">
        <v>82</v>
      </c>
      <c r="T44" s="5">
        <f>VLOOKUP(S44,'Team Hub'!$B$1:$F$65,4,false)</f>
        <v>300</v>
      </c>
      <c r="U44" s="5" t="str">
        <f>VLOOKUP(S44,'Team Hub'!$B$1:$F$65,5,false)</f>
        <v/>
      </c>
      <c r="V44" s="5" t="s">
        <v>75</v>
      </c>
      <c r="W44" s="5">
        <f>VLOOKUP(V44,'Team Hub'!$B$1:$F$65,4,false)</f>
        <v>0</v>
      </c>
      <c r="X44" s="5" t="str">
        <f>VLOOKUP(V44,'Team Hub'!$B$1:$F$65,5,false)</f>
        <v/>
      </c>
      <c r="Y44" s="5" t="s">
        <v>76</v>
      </c>
      <c r="Z44" s="5">
        <f>VLOOKUP(Y44,'Team Hub'!$B$1:$F$65,4,false)</f>
        <v>170</v>
      </c>
      <c r="AA44" s="4" t="str">
        <f>VLOOKUP(Y44,'Team Hub'!$B$1:$F$65,5,false)</f>
        <v/>
      </c>
      <c r="AB44" s="5" t="s">
        <v>94</v>
      </c>
      <c r="AC44" s="5">
        <f>VLOOKUP(AB44,'Team Hub'!$B$1:$F$65,4,false)</f>
        <v>180</v>
      </c>
      <c r="AD44" s="4" t="str">
        <f>VLOOKUP(AB44,'Team Hub'!$B$1:$F$65,5,false)</f>
        <v/>
      </c>
      <c r="AE44" s="5" t="s">
        <v>62</v>
      </c>
      <c r="AF44" s="5">
        <f>VLOOKUP(AE44,'Team Hub'!$B$1:$F$65,4,false)</f>
        <v>380</v>
      </c>
      <c r="AG44" s="4" t="str">
        <f>VLOOKUP(AE44,'Team Hub'!$B$1:$F$65,5,false)</f>
        <v/>
      </c>
      <c r="AH44" s="5" t="s">
        <v>98</v>
      </c>
      <c r="AI44" s="5">
        <f>VLOOKUP(AH44,'Team Hub'!$B$1:$F$65,4,false)</f>
        <v>0</v>
      </c>
      <c r="AJ44" s="4" t="str">
        <f>VLOOKUP(AH44,'Team Hub'!$B$1:$F$65,5,false)</f>
        <v/>
      </c>
      <c r="AK44" s="5" t="s">
        <v>107</v>
      </c>
      <c r="AL44" s="5">
        <f>VLOOKUP(AK44,'Team Hub'!$B$1:$F$65,4,false)</f>
        <v>0</v>
      </c>
      <c r="AM44" s="4" t="str">
        <f>VLOOKUP(AK44,'Team Hub'!$B$1:$F$65,5,false)</f>
        <v/>
      </c>
      <c r="AN44" s="5" t="s">
        <v>77</v>
      </c>
      <c r="AO44" s="5">
        <f>VLOOKUP(AN44,'Team Hub'!$B$1:$F$65,4,false)</f>
        <v>0</v>
      </c>
      <c r="AP44" s="4" t="str">
        <f>VLOOKUP(AN44,'Team Hub'!$B$1:$F$65,5,false)</f>
        <v/>
      </c>
      <c r="AQ44" s="5" t="s">
        <v>78</v>
      </c>
      <c r="AR44" s="5">
        <f>VLOOKUP(AQ44,'Team Hub'!$B$1:$F$65,4,false)</f>
        <v>0</v>
      </c>
      <c r="AS44" s="4" t="str">
        <f>VLOOKUP(AQ44,'Team Hub'!$B$1:$F$65,5,false)</f>
        <v/>
      </c>
      <c r="AT44" s="5" t="s">
        <v>129</v>
      </c>
      <c r="AU44" s="5">
        <f>VLOOKUP(AT44,'Team Hub'!$B$1:$F$65,4,false)</f>
        <v>0</v>
      </c>
      <c r="AV44" s="4" t="str">
        <f>VLOOKUP(AT44,'Team Hub'!$B$1:$F$65,5,false)</f>
        <v/>
      </c>
      <c r="AW44" s="5" t="s">
        <v>95</v>
      </c>
      <c r="AX44" s="5">
        <f>VLOOKUP(AW44,'Team Hub'!$B$1:$F$65,4,false)</f>
        <v>0</v>
      </c>
      <c r="AY44" s="4" t="str">
        <f>VLOOKUP(AW44,'Team Hub'!$B$1:$F$65,5,false)</f>
        <v/>
      </c>
      <c r="AZ44" s="4" t="s">
        <v>69</v>
      </c>
    </row>
    <row r="45" ht="22.5" customHeight="1">
      <c r="A45" s="4" t="s">
        <v>161</v>
      </c>
      <c r="B45" s="2">
        <f t="shared" ref="B45:C45" si="44">sum(E45+H45+K45+N45+Q45+T45+W45+Z45+AC45+AF45+AI45+AL45+AO45+AR45+AU45+AX45)</f>
        <v>2410</v>
      </c>
      <c r="C45" s="2">
        <f t="shared" si="44"/>
        <v>0</v>
      </c>
      <c r="D45" s="5" t="s">
        <v>53</v>
      </c>
      <c r="E45" s="5">
        <f>VLOOKUP(D45,'Team Hub'!$B$1:$F$65,4,false)</f>
        <v>400</v>
      </c>
      <c r="F45" s="4" t="str">
        <f>VLOOKUP(D45,'Team Hub'!$B$1:$F$65,5,false)</f>
        <v/>
      </c>
      <c r="G45" s="5" t="s">
        <v>109</v>
      </c>
      <c r="H45" s="5">
        <f>VLOOKUP(G45,'Team Hub'!$B$1:$F$65,4,false)</f>
        <v>110</v>
      </c>
      <c r="I45" s="4" t="str">
        <f>VLOOKUP(G45,'Team Hub'!$B$1:$F$65,5,false)</f>
        <v/>
      </c>
      <c r="J45" s="5" t="s">
        <v>73</v>
      </c>
      <c r="K45" s="5">
        <f>VLOOKUP(J45,'Team Hub'!$B$1:$F$65,4,false)</f>
        <v>240</v>
      </c>
      <c r="L45" s="4" t="str">
        <f>VLOOKUP(J45,'Team Hub'!$B$1:$F$65,5,false)</f>
        <v/>
      </c>
      <c r="M45" s="5" t="s">
        <v>97</v>
      </c>
      <c r="N45" s="5">
        <f>VLOOKUP(M45,'Team Hub'!$B$1:$F$65,4,false)</f>
        <v>260</v>
      </c>
      <c r="O45" s="5" t="str">
        <f>VLOOKUP(M45,'Team Hub'!$B$1:$F$65,5,false)</f>
        <v/>
      </c>
      <c r="P45" s="5" t="s">
        <v>132</v>
      </c>
      <c r="Q45" s="5">
        <f>VLOOKUP(P45,'Team Hub'!$B$1:$F$65,4,false)</f>
        <v>0</v>
      </c>
      <c r="R45" s="5" t="str">
        <f>VLOOKUP(P45,'Team Hub'!$B$1:$F$65,5,false)</f>
        <v/>
      </c>
      <c r="S45" s="5" t="s">
        <v>58</v>
      </c>
      <c r="T45" s="5">
        <f>VLOOKUP(S45,'Team Hub'!$B$1:$F$65,4,false)</f>
        <v>300</v>
      </c>
      <c r="U45" s="5" t="str">
        <f>VLOOKUP(S45,'Team Hub'!$B$1:$F$65,5,false)</f>
        <v/>
      </c>
      <c r="V45" s="5" t="s">
        <v>59</v>
      </c>
      <c r="W45" s="5">
        <f>VLOOKUP(V45,'Team Hub'!$B$1:$F$65,4,false)</f>
        <v>160</v>
      </c>
      <c r="X45" s="5" t="str">
        <f>VLOOKUP(V45,'Team Hub'!$B$1:$F$65,5,false)</f>
        <v/>
      </c>
      <c r="Y45" s="5" t="s">
        <v>76</v>
      </c>
      <c r="Z45" s="5">
        <f>VLOOKUP(Y45,'Team Hub'!$B$1:$F$65,4,false)</f>
        <v>170</v>
      </c>
      <c r="AA45" s="4" t="str">
        <f>VLOOKUP(Y45,'Team Hub'!$B$1:$F$65,5,false)</f>
        <v/>
      </c>
      <c r="AB45" s="5" t="s">
        <v>61</v>
      </c>
      <c r="AC45" s="5">
        <f>VLOOKUP(AB45,'Team Hub'!$B$1:$F$65,4,false)</f>
        <v>180</v>
      </c>
      <c r="AD45" s="4" t="str">
        <f>VLOOKUP(AB45,'Team Hub'!$B$1:$F$65,5,false)</f>
        <v/>
      </c>
      <c r="AE45" s="5" t="s">
        <v>62</v>
      </c>
      <c r="AF45" s="5">
        <f>VLOOKUP(AE45,'Team Hub'!$B$1:$F$65,4,false)</f>
        <v>380</v>
      </c>
      <c r="AG45" s="4" t="str">
        <f>VLOOKUP(AE45,'Team Hub'!$B$1:$F$65,5,false)</f>
        <v/>
      </c>
      <c r="AH45" s="5" t="s">
        <v>116</v>
      </c>
      <c r="AI45" s="5">
        <f>VLOOKUP(AH45,'Team Hub'!$B$1:$F$65,4,false)</f>
        <v>0</v>
      </c>
      <c r="AJ45" s="4" t="str">
        <f>VLOOKUP(AH45,'Team Hub'!$B$1:$F$65,5,false)</f>
        <v/>
      </c>
      <c r="AK45" s="5" t="s">
        <v>64</v>
      </c>
      <c r="AL45" s="5">
        <f>VLOOKUP(AK45,'Team Hub'!$B$1:$F$65,4,false)</f>
        <v>210</v>
      </c>
      <c r="AM45" s="4" t="str">
        <f>VLOOKUP(AK45,'Team Hub'!$B$1:$F$65,5,false)</f>
        <v/>
      </c>
      <c r="AN45" s="5" t="s">
        <v>110</v>
      </c>
      <c r="AO45" s="5">
        <f>VLOOKUP(AN45,'Team Hub'!$B$1:$F$65,4,false)</f>
        <v>0</v>
      </c>
      <c r="AP45" s="4" t="str">
        <f>VLOOKUP(AN45,'Team Hub'!$B$1:$F$65,5,false)</f>
        <v/>
      </c>
      <c r="AQ45" s="5" t="s">
        <v>78</v>
      </c>
      <c r="AR45" s="5">
        <f>VLOOKUP(AQ45,'Team Hub'!$B$1:$F$65,4,false)</f>
        <v>0</v>
      </c>
      <c r="AS45" s="4" t="str">
        <f>VLOOKUP(AQ45,'Team Hub'!$B$1:$F$65,5,false)</f>
        <v/>
      </c>
      <c r="AT45" s="5" t="s">
        <v>129</v>
      </c>
      <c r="AU45" s="5">
        <f>VLOOKUP(AT45,'Team Hub'!$B$1:$F$65,4,false)</f>
        <v>0</v>
      </c>
      <c r="AV45" s="4" t="str">
        <f>VLOOKUP(AT45,'Team Hub'!$B$1:$F$65,5,false)</f>
        <v/>
      </c>
      <c r="AW45" s="5" t="s">
        <v>103</v>
      </c>
      <c r="AX45" s="5">
        <f>VLOOKUP(AW45,'Team Hub'!$B$1:$F$65,4,false)</f>
        <v>0</v>
      </c>
      <c r="AY45" s="4" t="str">
        <f>VLOOKUP(AW45,'Team Hub'!$B$1:$F$65,5,false)</f>
        <v/>
      </c>
      <c r="AZ45" s="4" t="s">
        <v>69</v>
      </c>
    </row>
    <row r="46" ht="22.5" customHeight="1">
      <c r="A46" s="4" t="s">
        <v>162</v>
      </c>
      <c r="B46" s="2">
        <f t="shared" ref="B46:C46" si="45">sum(E46+H46+K46+N46+Q46+T46+W46+Z46+AC46+AF46+AI46+AL46+AO46+AR46+AU46+AX46)</f>
        <v>2410</v>
      </c>
      <c r="C46" s="2">
        <f t="shared" si="45"/>
        <v>1</v>
      </c>
      <c r="D46" s="4" t="s">
        <v>71</v>
      </c>
      <c r="E46" s="4">
        <f>VLOOKUP(D46,'Team Hub'!$B$1:$F$65,4,false)</f>
        <v>600</v>
      </c>
      <c r="F46" s="4">
        <f>VLOOKUP(D46,'Team Hub'!$B$1:$F$65,5,false)</f>
        <v>1</v>
      </c>
      <c r="G46" s="5" t="s">
        <v>81</v>
      </c>
      <c r="H46" s="5">
        <f>VLOOKUP(G46,'Team Hub'!$B$1:$F$65,4,false)</f>
        <v>330</v>
      </c>
      <c r="I46" s="4" t="str">
        <f>VLOOKUP(G46,'Team Hub'!$B$1:$F$65,5,false)</f>
        <v/>
      </c>
      <c r="J46" s="5" t="s">
        <v>55</v>
      </c>
      <c r="K46" s="5">
        <f>VLOOKUP(J46,'Team Hub'!$B$1:$F$65,4,false)</f>
        <v>360</v>
      </c>
      <c r="L46" s="4" t="str">
        <f>VLOOKUP(J46,'Team Hub'!$B$1:$F$65,5,false)</f>
        <v/>
      </c>
      <c r="M46" s="5" t="s">
        <v>97</v>
      </c>
      <c r="N46" s="5">
        <f>VLOOKUP(M46,'Team Hub'!$B$1:$F$65,4,false)</f>
        <v>260</v>
      </c>
      <c r="O46" s="5" t="str">
        <f>VLOOKUP(M46,'Team Hub'!$B$1:$F$65,5,false)</f>
        <v/>
      </c>
      <c r="P46" s="5" t="s">
        <v>132</v>
      </c>
      <c r="Q46" s="5">
        <f>VLOOKUP(P46,'Team Hub'!$B$1:$F$65,4,false)</f>
        <v>0</v>
      </c>
      <c r="R46" s="5" t="str">
        <f>VLOOKUP(P46,'Team Hub'!$B$1:$F$65,5,false)</f>
        <v/>
      </c>
      <c r="S46" s="5" t="s">
        <v>82</v>
      </c>
      <c r="T46" s="5">
        <f>VLOOKUP(S46,'Team Hub'!$B$1:$F$65,4,false)</f>
        <v>300</v>
      </c>
      <c r="U46" s="5" t="str">
        <f>VLOOKUP(S46,'Team Hub'!$B$1:$F$65,5,false)</f>
        <v/>
      </c>
      <c r="V46" s="5" t="s">
        <v>83</v>
      </c>
      <c r="W46" s="5">
        <f>VLOOKUP(V46,'Team Hub'!$B$1:$F$65,4,false)</f>
        <v>0</v>
      </c>
      <c r="X46" s="5" t="str">
        <f>VLOOKUP(V46,'Team Hub'!$B$1:$F$65,5,false)</f>
        <v/>
      </c>
      <c r="Y46" s="5" t="s">
        <v>76</v>
      </c>
      <c r="Z46" s="5">
        <f>VLOOKUP(Y46,'Team Hub'!$B$1:$F$65,4,false)</f>
        <v>170</v>
      </c>
      <c r="AA46" s="4" t="str">
        <f>VLOOKUP(Y46,'Team Hub'!$B$1:$F$65,5,false)</f>
        <v/>
      </c>
      <c r="AB46" s="5" t="s">
        <v>61</v>
      </c>
      <c r="AC46" s="5">
        <f>VLOOKUP(AB46,'Team Hub'!$B$1:$F$65,4,false)</f>
        <v>180</v>
      </c>
      <c r="AD46" s="4" t="str">
        <f>VLOOKUP(AB46,'Team Hub'!$B$1:$F$65,5,false)</f>
        <v/>
      </c>
      <c r="AE46" s="5" t="s">
        <v>123</v>
      </c>
      <c r="AF46" s="5">
        <f>VLOOKUP(AE46,'Team Hub'!$B$1:$F$65,4,false)</f>
        <v>0</v>
      </c>
      <c r="AG46" s="4" t="str">
        <f>VLOOKUP(AE46,'Team Hub'!$B$1:$F$65,5,false)</f>
        <v/>
      </c>
      <c r="AH46" s="5" t="s">
        <v>63</v>
      </c>
      <c r="AI46" s="5">
        <f>VLOOKUP(AH46,'Team Hub'!$B$1:$F$65,4,false)</f>
        <v>0</v>
      </c>
      <c r="AJ46" s="4" t="str">
        <f>VLOOKUP(AH46,'Team Hub'!$B$1:$F$65,5,false)</f>
        <v/>
      </c>
      <c r="AK46" s="5" t="s">
        <v>87</v>
      </c>
      <c r="AL46" s="5">
        <f>VLOOKUP(AK46,'Team Hub'!$B$1:$F$65,4,false)</f>
        <v>210</v>
      </c>
      <c r="AM46" s="4" t="str">
        <f>VLOOKUP(AK46,'Team Hub'!$B$1:$F$65,5,false)</f>
        <v/>
      </c>
      <c r="AN46" s="5" t="s">
        <v>77</v>
      </c>
      <c r="AO46" s="5">
        <f>VLOOKUP(AN46,'Team Hub'!$B$1:$F$65,4,false)</f>
        <v>0</v>
      </c>
      <c r="AP46" s="4" t="str">
        <f>VLOOKUP(AN46,'Team Hub'!$B$1:$F$65,5,false)</f>
        <v/>
      </c>
      <c r="AQ46" s="5" t="s">
        <v>89</v>
      </c>
      <c r="AR46" s="5">
        <f>VLOOKUP(AQ46,'Team Hub'!$B$1:$F$65,4,false)</f>
        <v>0</v>
      </c>
      <c r="AS46" s="4" t="str">
        <f>VLOOKUP(AQ46,'Team Hub'!$B$1:$F$65,5,false)</f>
        <v/>
      </c>
      <c r="AT46" s="5" t="s">
        <v>105</v>
      </c>
      <c r="AU46" s="5">
        <f>VLOOKUP(AT46,'Team Hub'!$B$1:$F$65,4,false)</f>
        <v>0</v>
      </c>
      <c r="AV46" s="5" t="str">
        <f>VLOOKUP(AT46,'Team Hub'!$B$1:$F$65,5,false)</f>
        <v/>
      </c>
      <c r="AW46" s="5" t="s">
        <v>95</v>
      </c>
      <c r="AX46" s="5">
        <f>VLOOKUP(AW46,'Team Hub'!$B$1:$F$65,4,false)</f>
        <v>0</v>
      </c>
      <c r="AY46" s="4" t="str">
        <f>VLOOKUP(AW46,'Team Hub'!$B$1:$F$65,5,false)</f>
        <v/>
      </c>
      <c r="AZ46" s="4" t="s">
        <v>69</v>
      </c>
    </row>
    <row r="47" ht="22.5" customHeight="1">
      <c r="A47" s="4" t="s">
        <v>163</v>
      </c>
      <c r="B47" s="2">
        <f t="shared" ref="B47:C47" si="46">sum(E47+H47+K47+N47+Q47+T47+W47+Z47+AC47+AF47+AI47+AL47+AO47+AR47+AU47+AX47)</f>
        <v>2400</v>
      </c>
      <c r="C47" s="2">
        <f t="shared" si="46"/>
        <v>1</v>
      </c>
      <c r="D47" s="4" t="s">
        <v>71</v>
      </c>
      <c r="E47" s="4">
        <f>VLOOKUP(D47,'Team Hub'!$B$1:$F$65,4,false)</f>
        <v>600</v>
      </c>
      <c r="F47" s="4">
        <f>VLOOKUP(D47,'Team Hub'!$B$1:$F$65,5,false)</f>
        <v>1</v>
      </c>
      <c r="G47" s="5" t="s">
        <v>81</v>
      </c>
      <c r="H47" s="5">
        <f>VLOOKUP(G47,'Team Hub'!$B$1:$F$65,4,false)</f>
        <v>330</v>
      </c>
      <c r="I47" s="4" t="str">
        <f>VLOOKUP(G47,'Team Hub'!$B$1:$F$65,5,false)</f>
        <v/>
      </c>
      <c r="J47" s="5" t="s">
        <v>73</v>
      </c>
      <c r="K47" s="5">
        <f>VLOOKUP(J47,'Team Hub'!$B$1:$F$65,4,false)</f>
        <v>240</v>
      </c>
      <c r="L47" s="4" t="str">
        <f>VLOOKUP(J47,'Team Hub'!$B$1:$F$65,5,false)</f>
        <v/>
      </c>
      <c r="M47" s="5" t="s">
        <v>74</v>
      </c>
      <c r="N47" s="5">
        <f>VLOOKUP(M47,'Team Hub'!$B$1:$F$65,4,false)</f>
        <v>260</v>
      </c>
      <c r="O47" s="5" t="str">
        <f>VLOOKUP(M47,'Team Hub'!$B$1:$F$65,5,false)</f>
        <v/>
      </c>
      <c r="P47" s="5" t="s">
        <v>57</v>
      </c>
      <c r="Q47" s="5">
        <f>VLOOKUP(P47,'Team Hub'!$B$1:$F$65,4,false)</f>
        <v>280</v>
      </c>
      <c r="R47" s="5" t="str">
        <f>VLOOKUP(P47,'Team Hub'!$B$1:$F$65,5,false)</f>
        <v/>
      </c>
      <c r="S47" s="5" t="s">
        <v>82</v>
      </c>
      <c r="T47" s="5">
        <f>VLOOKUP(S47,'Team Hub'!$B$1:$F$65,4,false)</f>
        <v>300</v>
      </c>
      <c r="U47" s="5" t="str">
        <f>VLOOKUP(S47,'Team Hub'!$B$1:$F$65,5,false)</f>
        <v/>
      </c>
      <c r="V47" s="5" t="s">
        <v>75</v>
      </c>
      <c r="W47" s="5">
        <f>VLOOKUP(V47,'Team Hub'!$B$1:$F$65,4,false)</f>
        <v>0</v>
      </c>
      <c r="X47" s="5" t="str">
        <f>VLOOKUP(V47,'Team Hub'!$B$1:$F$65,5,false)</f>
        <v/>
      </c>
      <c r="Y47" s="5" t="s">
        <v>126</v>
      </c>
      <c r="Z47" s="5">
        <f>VLOOKUP(Y47,'Team Hub'!$B$1:$F$65,4,false)</f>
        <v>0</v>
      </c>
      <c r="AA47" s="4" t="str">
        <f>VLOOKUP(Y47,'Team Hub'!$B$1:$F$65,5,false)</f>
        <v/>
      </c>
      <c r="AB47" s="5" t="s">
        <v>94</v>
      </c>
      <c r="AC47" s="5">
        <f>VLOOKUP(AB47,'Team Hub'!$B$1:$F$65,4,false)</f>
        <v>180</v>
      </c>
      <c r="AD47" s="4" t="str">
        <f>VLOOKUP(AB47,'Team Hub'!$B$1:$F$65,5,false)</f>
        <v/>
      </c>
      <c r="AE47" s="5" t="s">
        <v>123</v>
      </c>
      <c r="AF47" s="5">
        <f>VLOOKUP(AE47,'Team Hub'!$B$1:$F$65,4,false)</f>
        <v>0</v>
      </c>
      <c r="AG47" s="4" t="str">
        <f>VLOOKUP(AE47,'Team Hub'!$B$1:$F$65,5,false)</f>
        <v/>
      </c>
      <c r="AH47" s="5" t="s">
        <v>63</v>
      </c>
      <c r="AI47" s="5">
        <f>VLOOKUP(AH47,'Team Hub'!$B$1:$F$65,4,false)</f>
        <v>0</v>
      </c>
      <c r="AJ47" s="4" t="str">
        <f>VLOOKUP(AH47,'Team Hub'!$B$1:$F$65,5,false)</f>
        <v/>
      </c>
      <c r="AK47" s="5" t="s">
        <v>64</v>
      </c>
      <c r="AL47" s="5">
        <f>VLOOKUP(AK47,'Team Hub'!$B$1:$F$65,4,false)</f>
        <v>210</v>
      </c>
      <c r="AM47" s="4" t="str">
        <f>VLOOKUP(AK47,'Team Hub'!$B$1:$F$65,5,false)</f>
        <v/>
      </c>
      <c r="AN47" s="5" t="s">
        <v>110</v>
      </c>
      <c r="AO47" s="5">
        <f>VLOOKUP(AN47,'Team Hub'!$B$1:$F$65,4,false)</f>
        <v>0</v>
      </c>
      <c r="AP47" s="4" t="str">
        <f>VLOOKUP(AN47,'Team Hub'!$B$1:$F$65,5,false)</f>
        <v/>
      </c>
      <c r="AQ47" s="5" t="s">
        <v>66</v>
      </c>
      <c r="AR47" s="5">
        <f>VLOOKUP(AQ47,'Team Hub'!$B$1:$F$65,4,false)</f>
        <v>0</v>
      </c>
      <c r="AS47" s="4" t="str">
        <f>VLOOKUP(AQ47,'Team Hub'!$B$1:$F$65,5,false)</f>
        <v/>
      </c>
      <c r="AT47" s="5" t="s">
        <v>105</v>
      </c>
      <c r="AU47" s="5">
        <f>VLOOKUP(AT47,'Team Hub'!$B$1:$F$65,4,false)</f>
        <v>0</v>
      </c>
      <c r="AV47" s="5" t="str">
        <f>VLOOKUP(AT47,'Team Hub'!$B$1:$F$65,5,false)</f>
        <v/>
      </c>
      <c r="AW47" s="5" t="s">
        <v>103</v>
      </c>
      <c r="AX47" s="5">
        <f>VLOOKUP(AW47,'Team Hub'!$B$1:$F$65,4,false)</f>
        <v>0</v>
      </c>
      <c r="AY47" s="4" t="str">
        <f>VLOOKUP(AW47,'Team Hub'!$B$1:$F$65,5,false)</f>
        <v/>
      </c>
      <c r="AZ47" s="4" t="s">
        <v>69</v>
      </c>
    </row>
    <row r="48" ht="22.5" customHeight="1">
      <c r="A48" s="4" t="s">
        <v>164</v>
      </c>
      <c r="B48" s="2">
        <f t="shared" ref="B48:C48" si="47">sum(E48+H48+K48+N48+Q48+T48+W48+Z48+AC48+AF48+AI48+AL48+AO48+AR48+AU48+AX48)</f>
        <v>2390</v>
      </c>
      <c r="C48" s="2">
        <f t="shared" si="47"/>
        <v>0</v>
      </c>
      <c r="D48" s="5" t="s">
        <v>53</v>
      </c>
      <c r="E48" s="5">
        <f>VLOOKUP(D48,'Team Hub'!$B$1:$F$65,4,false)</f>
        <v>400</v>
      </c>
      <c r="F48" s="4" t="str">
        <f>VLOOKUP(D48,'Team Hub'!$B$1:$F$65,5,false)</f>
        <v/>
      </c>
      <c r="G48" s="5" t="s">
        <v>81</v>
      </c>
      <c r="H48" s="5">
        <f>VLOOKUP(G48,'Team Hub'!$B$1:$F$65,4,false)</f>
        <v>330</v>
      </c>
      <c r="I48" s="4" t="str">
        <f>VLOOKUP(G48,'Team Hub'!$B$1:$F$65,5,false)</f>
        <v/>
      </c>
      <c r="J48" s="5" t="s">
        <v>55</v>
      </c>
      <c r="K48" s="5">
        <f>VLOOKUP(J48,'Team Hub'!$B$1:$F$65,4,false)</f>
        <v>360</v>
      </c>
      <c r="L48" s="4" t="str">
        <f>VLOOKUP(J48,'Team Hub'!$B$1:$F$65,5,false)</f>
        <v/>
      </c>
      <c r="M48" s="5" t="s">
        <v>56</v>
      </c>
      <c r="N48" s="5">
        <f>VLOOKUP(M48,'Team Hub'!$B$1:$F$65,4,false)</f>
        <v>260</v>
      </c>
      <c r="O48" s="5" t="str">
        <f>VLOOKUP(M48,'Team Hub'!$B$1:$F$65,5,false)</f>
        <v/>
      </c>
      <c r="P48" s="5" t="s">
        <v>132</v>
      </c>
      <c r="Q48" s="5">
        <f>VLOOKUP(P48,'Team Hub'!$B$1:$F$65,4,false)</f>
        <v>0</v>
      </c>
      <c r="R48" s="5" t="str">
        <f>VLOOKUP(P48,'Team Hub'!$B$1:$F$65,5,false)</f>
        <v/>
      </c>
      <c r="S48" s="5" t="s">
        <v>92</v>
      </c>
      <c r="T48" s="5">
        <f>VLOOKUP(S48,'Team Hub'!$B$1:$F$65,4,false)</f>
        <v>150</v>
      </c>
      <c r="U48" s="5" t="str">
        <f>VLOOKUP(S48,'Team Hub'!$B$1:$F$65,5,false)</f>
        <v/>
      </c>
      <c r="V48" s="5" t="s">
        <v>93</v>
      </c>
      <c r="W48" s="5">
        <f>VLOOKUP(V48,'Team Hub'!$B$1:$F$65,4,false)</f>
        <v>160</v>
      </c>
      <c r="X48" s="5" t="str">
        <f>VLOOKUP(V48,'Team Hub'!$B$1:$F$65,5,false)</f>
        <v/>
      </c>
      <c r="Y48" s="5" t="s">
        <v>60</v>
      </c>
      <c r="Z48" s="5">
        <f>VLOOKUP(Y48,'Team Hub'!$B$1:$F$65,4,false)</f>
        <v>170</v>
      </c>
      <c r="AA48" s="4" t="str">
        <f>VLOOKUP(Y48,'Team Hub'!$B$1:$F$65,5,false)</f>
        <v/>
      </c>
      <c r="AB48" s="5" t="s">
        <v>61</v>
      </c>
      <c r="AC48" s="5">
        <f>VLOOKUP(AB48,'Team Hub'!$B$1:$F$65,4,false)</f>
        <v>180</v>
      </c>
      <c r="AD48" s="4" t="str">
        <f>VLOOKUP(AB48,'Team Hub'!$B$1:$F$65,5,false)</f>
        <v/>
      </c>
      <c r="AE48" s="5" t="s">
        <v>62</v>
      </c>
      <c r="AF48" s="5">
        <f>VLOOKUP(AE48,'Team Hub'!$B$1:$F$65,4,false)</f>
        <v>380</v>
      </c>
      <c r="AG48" s="4" t="str">
        <f>VLOOKUP(AE48,'Team Hub'!$B$1:$F$65,5,false)</f>
        <v/>
      </c>
      <c r="AH48" s="5" t="s">
        <v>98</v>
      </c>
      <c r="AI48" s="5">
        <f>VLOOKUP(AH48,'Team Hub'!$B$1:$F$65,4,false)</f>
        <v>0</v>
      </c>
      <c r="AJ48" s="4" t="str">
        <f>VLOOKUP(AH48,'Team Hub'!$B$1:$F$65,5,false)</f>
        <v/>
      </c>
      <c r="AK48" s="5" t="s">
        <v>107</v>
      </c>
      <c r="AL48" s="5">
        <f>VLOOKUP(AK48,'Team Hub'!$B$1:$F$65,4,false)</f>
        <v>0</v>
      </c>
      <c r="AM48" s="4" t="str">
        <f>VLOOKUP(AK48,'Team Hub'!$B$1:$F$65,5,false)</f>
        <v/>
      </c>
      <c r="AN48" s="5" t="s">
        <v>88</v>
      </c>
      <c r="AO48" s="5">
        <f>VLOOKUP(AN48,'Team Hub'!$B$1:$F$65,4,false)</f>
        <v>0</v>
      </c>
      <c r="AP48" s="4" t="str">
        <f>VLOOKUP(AN48,'Team Hub'!$B$1:$F$65,5,false)</f>
        <v/>
      </c>
      <c r="AQ48" s="5" t="s">
        <v>89</v>
      </c>
      <c r="AR48" s="5">
        <f>VLOOKUP(AQ48,'Team Hub'!$B$1:$F$65,4,false)</f>
        <v>0</v>
      </c>
      <c r="AS48" s="4" t="str">
        <f>VLOOKUP(AQ48,'Team Hub'!$B$1:$F$65,5,false)</f>
        <v/>
      </c>
      <c r="AT48" s="5" t="s">
        <v>67</v>
      </c>
      <c r="AU48" s="5">
        <f>VLOOKUP(AT48,'Team Hub'!$B$1:$F$65,4,false)</f>
        <v>0</v>
      </c>
      <c r="AV48" s="4" t="str">
        <f>VLOOKUP(AT48,'Team Hub'!$B$1:$F$65,5,false)</f>
        <v/>
      </c>
      <c r="AW48" s="5" t="s">
        <v>95</v>
      </c>
      <c r="AX48" s="5">
        <f>VLOOKUP(AW48,'Team Hub'!$B$1:$F$65,4,false)</f>
        <v>0</v>
      </c>
      <c r="AY48" s="4" t="str">
        <f>VLOOKUP(AW48,'Team Hub'!$B$1:$F$65,5,false)</f>
        <v/>
      </c>
      <c r="AZ48" s="4" t="s">
        <v>69</v>
      </c>
    </row>
    <row r="49" ht="22.5" customHeight="1">
      <c r="A49" s="4" t="s">
        <v>165</v>
      </c>
      <c r="B49" s="2">
        <f t="shared" ref="B49:C49" si="48">sum(E49+H49+K49+N49+Q49+T49+W49+Z49+AC49+AF49+AI49+AL49+AO49+AR49+AU49+AX49)</f>
        <v>2380</v>
      </c>
      <c r="C49" s="2">
        <f t="shared" si="48"/>
        <v>0</v>
      </c>
      <c r="D49" s="5" t="s">
        <v>91</v>
      </c>
      <c r="E49" s="5">
        <f>VLOOKUP(D49,'Team Hub'!$B$1:$F$65,4,false)</f>
        <v>400</v>
      </c>
      <c r="F49" s="4" t="str">
        <f>VLOOKUP(D49,'Team Hub'!$B$1:$F$65,5,false)</f>
        <v/>
      </c>
      <c r="G49" s="5" t="s">
        <v>81</v>
      </c>
      <c r="H49" s="5">
        <f>VLOOKUP(G49,'Team Hub'!$B$1:$F$65,4,false)</f>
        <v>330</v>
      </c>
      <c r="I49" s="4" t="str">
        <f>VLOOKUP(G49,'Team Hub'!$B$1:$F$65,5,false)</f>
        <v/>
      </c>
      <c r="J49" s="5" t="s">
        <v>101</v>
      </c>
      <c r="K49" s="5">
        <f>VLOOKUP(J49,'Team Hub'!$B$1:$F$65,4,false)</f>
        <v>120</v>
      </c>
      <c r="L49" s="4" t="str">
        <f>VLOOKUP(J49,'Team Hub'!$B$1:$F$65,5,false)</f>
        <v/>
      </c>
      <c r="M49" s="5" t="s">
        <v>56</v>
      </c>
      <c r="N49" s="5">
        <f>VLOOKUP(M49,'Team Hub'!$B$1:$F$65,4,false)</f>
        <v>260</v>
      </c>
      <c r="O49" s="5" t="str">
        <f>VLOOKUP(M49,'Team Hub'!$B$1:$F$65,5,false)</f>
        <v/>
      </c>
      <c r="P49" s="5" t="s">
        <v>136</v>
      </c>
      <c r="Q49" s="5">
        <f>VLOOKUP(P49,'Team Hub'!$B$1:$F$65,4,false)</f>
        <v>0</v>
      </c>
      <c r="R49" s="5" t="str">
        <f>VLOOKUP(P49,'Team Hub'!$B$1:$F$65,5,false)</f>
        <v/>
      </c>
      <c r="S49" s="5" t="s">
        <v>92</v>
      </c>
      <c r="T49" s="5">
        <f>VLOOKUP(S49,'Team Hub'!$B$1:$F$65,4,false)</f>
        <v>150</v>
      </c>
      <c r="U49" s="5" t="str">
        <f>VLOOKUP(S49,'Team Hub'!$B$1:$F$65,5,false)</f>
        <v/>
      </c>
      <c r="V49" s="5" t="s">
        <v>93</v>
      </c>
      <c r="W49" s="5">
        <f>VLOOKUP(V49,'Team Hub'!$B$1:$F$65,4,false)</f>
        <v>160</v>
      </c>
      <c r="X49" s="5" t="str">
        <f>VLOOKUP(V49,'Team Hub'!$B$1:$F$65,5,false)</f>
        <v/>
      </c>
      <c r="Y49" s="5" t="s">
        <v>76</v>
      </c>
      <c r="Z49" s="5">
        <f>VLOOKUP(Y49,'Team Hub'!$B$1:$F$65,4,false)</f>
        <v>170</v>
      </c>
      <c r="AA49" s="4" t="str">
        <f>VLOOKUP(Y49,'Team Hub'!$B$1:$F$65,5,false)</f>
        <v/>
      </c>
      <c r="AB49" s="5" t="s">
        <v>84</v>
      </c>
      <c r="AC49" s="5">
        <f>VLOOKUP(AB49,'Team Hub'!$B$1:$F$65,4,false)</f>
        <v>0</v>
      </c>
      <c r="AD49" s="4" t="str">
        <f>VLOOKUP(AB49,'Team Hub'!$B$1:$F$65,5,false)</f>
        <v/>
      </c>
      <c r="AE49" s="5" t="s">
        <v>62</v>
      </c>
      <c r="AF49" s="5">
        <f>VLOOKUP(AE49,'Team Hub'!$B$1:$F$65,4,false)</f>
        <v>380</v>
      </c>
      <c r="AG49" s="4" t="str">
        <f>VLOOKUP(AE49,'Team Hub'!$B$1:$F$65,5,false)</f>
        <v/>
      </c>
      <c r="AH49" s="5" t="s">
        <v>86</v>
      </c>
      <c r="AI49" s="5">
        <f>VLOOKUP(AH49,'Team Hub'!$B$1:$F$65,4,false)</f>
        <v>200</v>
      </c>
      <c r="AJ49" s="4" t="str">
        <f>VLOOKUP(AH49,'Team Hub'!$B$1:$F$65,5,false)</f>
        <v/>
      </c>
      <c r="AK49" s="5" t="s">
        <v>64</v>
      </c>
      <c r="AL49" s="5">
        <f>VLOOKUP(AK49,'Team Hub'!$B$1:$F$65,4,false)</f>
        <v>210</v>
      </c>
      <c r="AM49" s="4" t="str">
        <f>VLOOKUP(AK49,'Team Hub'!$B$1:$F$65,5,false)</f>
        <v/>
      </c>
      <c r="AN49" s="5" t="s">
        <v>88</v>
      </c>
      <c r="AO49" s="5">
        <f>VLOOKUP(AN49,'Team Hub'!$B$1:$F$65,4,false)</f>
        <v>0</v>
      </c>
      <c r="AP49" s="4" t="str">
        <f>VLOOKUP(AN49,'Team Hub'!$B$1:$F$65,5,false)</f>
        <v/>
      </c>
      <c r="AQ49" s="5" t="s">
        <v>117</v>
      </c>
      <c r="AR49" s="5">
        <f>VLOOKUP(AQ49,'Team Hub'!$B$1:$F$65,4,false)</f>
        <v>0</v>
      </c>
      <c r="AS49" s="4" t="str">
        <f>VLOOKUP(AQ49,'Team Hub'!$B$1:$F$65,5,false)</f>
        <v/>
      </c>
      <c r="AT49" s="5" t="s">
        <v>79</v>
      </c>
      <c r="AU49" s="5">
        <f>VLOOKUP(AT49,'Team Hub'!$B$1:$F$65,4,false)</f>
        <v>0</v>
      </c>
      <c r="AV49" s="4" t="str">
        <f>VLOOKUP(AT49,'Team Hub'!$B$1:$F$65,5,false)</f>
        <v/>
      </c>
      <c r="AW49" s="5" t="s">
        <v>95</v>
      </c>
      <c r="AX49" s="5">
        <f>VLOOKUP(AW49,'Team Hub'!$B$1:$F$65,4,false)</f>
        <v>0</v>
      </c>
      <c r="AY49" s="4" t="str">
        <f>VLOOKUP(AW49,'Team Hub'!$B$1:$F$65,5,false)</f>
        <v/>
      </c>
      <c r="AZ49" s="4" t="s">
        <v>119</v>
      </c>
    </row>
    <row r="50" ht="22.5" customHeight="1">
      <c r="A50" s="4" t="s">
        <v>131</v>
      </c>
      <c r="B50" s="2">
        <f t="shared" ref="B50:C50" si="49">sum(E50+H50+K50+N50+Q50+T50+W50+Z50+AC50+AF50+AI50+AL50+AO50+AR50+AU50+AX50)</f>
        <v>2380</v>
      </c>
      <c r="C50" s="2">
        <f t="shared" si="49"/>
        <v>1</v>
      </c>
      <c r="D50" s="4" t="s">
        <v>71</v>
      </c>
      <c r="E50" s="4">
        <f>VLOOKUP(D50,'Team Hub'!$B$1:$F$65,4,false)</f>
        <v>600</v>
      </c>
      <c r="F50" s="4">
        <f>VLOOKUP(D50,'Team Hub'!$B$1:$F$65,5,false)</f>
        <v>1</v>
      </c>
      <c r="G50" s="5" t="s">
        <v>109</v>
      </c>
      <c r="H50" s="5">
        <f>VLOOKUP(G50,'Team Hub'!$B$1:$F$65,4,false)</f>
        <v>110</v>
      </c>
      <c r="I50" s="4" t="str">
        <f>VLOOKUP(G50,'Team Hub'!$B$1:$F$65,5,false)</f>
        <v/>
      </c>
      <c r="J50" s="5" t="s">
        <v>55</v>
      </c>
      <c r="K50" s="5">
        <f>VLOOKUP(J50,'Team Hub'!$B$1:$F$65,4,false)</f>
        <v>360</v>
      </c>
      <c r="L50" s="4" t="str">
        <f>VLOOKUP(J50,'Team Hub'!$B$1:$F$65,5,false)</f>
        <v/>
      </c>
      <c r="M50" s="5" t="s">
        <v>56</v>
      </c>
      <c r="N50" s="5">
        <f>VLOOKUP(M50,'Team Hub'!$B$1:$F$65,4,false)</f>
        <v>260</v>
      </c>
      <c r="O50" s="5" t="str">
        <f>VLOOKUP(M50,'Team Hub'!$B$1:$F$65,5,false)</f>
        <v/>
      </c>
      <c r="P50" s="5" t="s">
        <v>132</v>
      </c>
      <c r="Q50" s="5">
        <f>VLOOKUP(P50,'Team Hub'!$B$1:$F$65,4,false)</f>
        <v>0</v>
      </c>
      <c r="R50" s="5" t="str">
        <f>VLOOKUP(P50,'Team Hub'!$B$1:$F$65,5,false)</f>
        <v/>
      </c>
      <c r="S50" s="5" t="s">
        <v>82</v>
      </c>
      <c r="T50" s="5">
        <f>VLOOKUP(S50,'Team Hub'!$B$1:$F$65,4,false)</f>
        <v>300</v>
      </c>
      <c r="U50" s="5" t="str">
        <f>VLOOKUP(S50,'Team Hub'!$B$1:$F$65,5,false)</f>
        <v/>
      </c>
      <c r="V50" s="5" t="s">
        <v>75</v>
      </c>
      <c r="W50" s="5">
        <f>VLOOKUP(V50,'Team Hub'!$B$1:$F$65,4,false)</f>
        <v>0</v>
      </c>
      <c r="X50" s="5" t="str">
        <f>VLOOKUP(V50,'Team Hub'!$B$1:$F$65,5,false)</f>
        <v/>
      </c>
      <c r="Y50" s="5" t="s">
        <v>76</v>
      </c>
      <c r="Z50" s="5">
        <f>VLOOKUP(Y50,'Team Hub'!$B$1:$F$65,4,false)</f>
        <v>170</v>
      </c>
      <c r="AA50" s="4" t="str">
        <f>VLOOKUP(Y50,'Team Hub'!$B$1:$F$65,5,false)</f>
        <v/>
      </c>
      <c r="AB50" s="5" t="s">
        <v>61</v>
      </c>
      <c r="AC50" s="5">
        <f>VLOOKUP(AB50,'Team Hub'!$B$1:$F$65,4,false)</f>
        <v>180</v>
      </c>
      <c r="AD50" s="4" t="str">
        <f>VLOOKUP(AB50,'Team Hub'!$B$1:$F$65,5,false)</f>
        <v/>
      </c>
      <c r="AE50" s="5" t="s">
        <v>85</v>
      </c>
      <c r="AF50" s="5">
        <f>VLOOKUP(AE50,'Team Hub'!$B$1:$F$65,4,false)</f>
        <v>190</v>
      </c>
      <c r="AG50" s="4" t="str">
        <f>VLOOKUP(AE50,'Team Hub'!$B$1:$F$65,5,false)</f>
        <v/>
      </c>
      <c r="AH50" s="5" t="s">
        <v>98</v>
      </c>
      <c r="AI50" s="5">
        <f>VLOOKUP(AH50,'Team Hub'!$B$1:$F$65,4,false)</f>
        <v>0</v>
      </c>
      <c r="AJ50" s="4" t="str">
        <f>VLOOKUP(AH50,'Team Hub'!$B$1:$F$65,5,false)</f>
        <v/>
      </c>
      <c r="AK50" s="5" t="s">
        <v>64</v>
      </c>
      <c r="AL50" s="5">
        <f>VLOOKUP(AK50,'Team Hub'!$B$1:$F$65,4,false)</f>
        <v>210</v>
      </c>
      <c r="AM50" s="4" t="str">
        <f>VLOOKUP(AK50,'Team Hub'!$B$1:$F$65,5,false)</f>
        <v/>
      </c>
      <c r="AN50" s="5" t="s">
        <v>88</v>
      </c>
      <c r="AO50" s="5">
        <f>VLOOKUP(AN50,'Team Hub'!$B$1:$F$65,4,false)</f>
        <v>0</v>
      </c>
      <c r="AP50" s="4" t="str">
        <f>VLOOKUP(AN50,'Team Hub'!$B$1:$F$65,5,false)</f>
        <v/>
      </c>
      <c r="AQ50" s="5" t="s">
        <v>89</v>
      </c>
      <c r="AR50" s="5">
        <f>VLOOKUP(AQ50,'Team Hub'!$B$1:$F$65,4,false)</f>
        <v>0</v>
      </c>
      <c r="AS50" s="4" t="str">
        <f>VLOOKUP(AQ50,'Team Hub'!$B$1:$F$65,5,false)</f>
        <v/>
      </c>
      <c r="AT50" s="5" t="s">
        <v>79</v>
      </c>
      <c r="AU50" s="5">
        <f>VLOOKUP(AT50,'Team Hub'!$B$1:$F$65,4,false)</f>
        <v>0</v>
      </c>
      <c r="AV50" s="4" t="str">
        <f>VLOOKUP(AT50,'Team Hub'!$B$1:$F$65,5,false)</f>
        <v/>
      </c>
      <c r="AW50" s="5" t="s">
        <v>95</v>
      </c>
      <c r="AX50" s="5">
        <f>VLOOKUP(AW50,'Team Hub'!$B$1:$F$65,4,false)</f>
        <v>0</v>
      </c>
      <c r="AY50" s="4" t="str">
        <f>VLOOKUP(AW50,'Team Hub'!$B$1:$F$65,5,false)</f>
        <v/>
      </c>
      <c r="AZ50" s="4" t="s">
        <v>69</v>
      </c>
    </row>
    <row r="51" ht="22.5" customHeight="1">
      <c r="A51" s="4" t="s">
        <v>166</v>
      </c>
      <c r="B51" s="2">
        <f t="shared" ref="B51:C51" si="50">sum(E51+H51+K51+N51+Q51+T51+W51+Z51+AC51+AF51+AI51+AL51+AO51+AR51+AU51+AX51)</f>
        <v>2360</v>
      </c>
      <c r="C51" s="2">
        <f t="shared" si="50"/>
        <v>1</v>
      </c>
      <c r="D51" s="4" t="s">
        <v>71</v>
      </c>
      <c r="E51" s="4">
        <f>VLOOKUP(D51,'Team Hub'!$B$1:$F$65,4,false)</f>
        <v>600</v>
      </c>
      <c r="F51" s="4">
        <f>VLOOKUP(D51,'Team Hub'!$B$1:$F$65,5,false)</f>
        <v>1</v>
      </c>
      <c r="G51" s="5" t="s">
        <v>109</v>
      </c>
      <c r="H51" s="5">
        <f>VLOOKUP(G51,'Team Hub'!$B$1:$F$65,4,false)</f>
        <v>110</v>
      </c>
      <c r="I51" s="4" t="str">
        <f>VLOOKUP(G51,'Team Hub'!$B$1:$F$65,5,false)</f>
        <v/>
      </c>
      <c r="J51" s="5" t="s">
        <v>73</v>
      </c>
      <c r="K51" s="5">
        <f>VLOOKUP(J51,'Team Hub'!$B$1:$F$65,4,false)</f>
        <v>240</v>
      </c>
      <c r="L51" s="4" t="str">
        <f>VLOOKUP(J51,'Team Hub'!$B$1:$F$65,5,false)</f>
        <v/>
      </c>
      <c r="M51" s="5" t="s">
        <v>97</v>
      </c>
      <c r="N51" s="5">
        <f>VLOOKUP(M51,'Team Hub'!$B$1:$F$65,4,false)</f>
        <v>260</v>
      </c>
      <c r="O51" s="5" t="str">
        <f>VLOOKUP(M51,'Team Hub'!$B$1:$F$65,5,false)</f>
        <v/>
      </c>
      <c r="P51" s="5" t="s">
        <v>102</v>
      </c>
      <c r="Q51" s="5">
        <f>VLOOKUP(P51,'Team Hub'!$B$1:$F$65,4,false)</f>
        <v>140</v>
      </c>
      <c r="R51" s="5" t="str">
        <f>VLOOKUP(P51,'Team Hub'!$B$1:$F$65,5,false)</f>
        <v/>
      </c>
      <c r="S51" s="5" t="s">
        <v>82</v>
      </c>
      <c r="T51" s="5">
        <f>VLOOKUP(S51,'Team Hub'!$B$1:$F$65,4,false)</f>
        <v>300</v>
      </c>
      <c r="U51" s="5" t="str">
        <f>VLOOKUP(S51,'Team Hub'!$B$1:$F$65,5,false)</f>
        <v/>
      </c>
      <c r="V51" s="5" t="s">
        <v>59</v>
      </c>
      <c r="W51" s="5">
        <f>VLOOKUP(V51,'Team Hub'!$B$1:$F$65,4,false)</f>
        <v>160</v>
      </c>
      <c r="X51" s="5" t="str">
        <f>VLOOKUP(V51,'Team Hub'!$B$1:$F$65,5,false)</f>
        <v/>
      </c>
      <c r="Y51" s="5" t="s">
        <v>60</v>
      </c>
      <c r="Z51" s="5">
        <f>VLOOKUP(Y51,'Team Hub'!$B$1:$F$65,4,false)</f>
        <v>170</v>
      </c>
      <c r="AA51" s="4" t="str">
        <f>VLOOKUP(Y51,'Team Hub'!$B$1:$F$65,5,false)</f>
        <v/>
      </c>
      <c r="AB51" s="5" t="s">
        <v>94</v>
      </c>
      <c r="AC51" s="5">
        <f>VLOOKUP(AB51,'Team Hub'!$B$1:$F$65,4,false)</f>
        <v>180</v>
      </c>
      <c r="AD51" s="4" t="str">
        <f>VLOOKUP(AB51,'Team Hub'!$B$1:$F$65,5,false)</f>
        <v/>
      </c>
      <c r="AE51" s="5" t="s">
        <v>123</v>
      </c>
      <c r="AF51" s="5">
        <f>VLOOKUP(AE51,'Team Hub'!$B$1:$F$65,4,false)</f>
        <v>0</v>
      </c>
      <c r="AG51" s="4" t="str">
        <f>VLOOKUP(AE51,'Team Hub'!$B$1:$F$65,5,false)</f>
        <v/>
      </c>
      <c r="AH51" s="5" t="s">
        <v>86</v>
      </c>
      <c r="AI51" s="5">
        <f>VLOOKUP(AH51,'Team Hub'!$B$1:$F$65,4,false)</f>
        <v>200</v>
      </c>
      <c r="AJ51" s="4" t="str">
        <f>VLOOKUP(AH51,'Team Hub'!$B$1:$F$65,5,false)</f>
        <v/>
      </c>
      <c r="AK51" s="5" t="s">
        <v>107</v>
      </c>
      <c r="AL51" s="5">
        <f>VLOOKUP(AK51,'Team Hub'!$B$1:$F$65,4,false)</f>
        <v>0</v>
      </c>
      <c r="AM51" s="4" t="str">
        <f>VLOOKUP(AK51,'Team Hub'!$B$1:$F$65,5,false)</f>
        <v/>
      </c>
      <c r="AN51" s="5" t="s">
        <v>77</v>
      </c>
      <c r="AO51" s="5">
        <f>VLOOKUP(AN51,'Team Hub'!$B$1:$F$65,4,false)</f>
        <v>0</v>
      </c>
      <c r="AP51" s="4" t="str">
        <f>VLOOKUP(AN51,'Team Hub'!$B$1:$F$65,5,false)</f>
        <v/>
      </c>
      <c r="AQ51" s="5" t="s">
        <v>78</v>
      </c>
      <c r="AR51" s="5">
        <f>VLOOKUP(AQ51,'Team Hub'!$B$1:$F$65,4,false)</f>
        <v>0</v>
      </c>
      <c r="AS51" s="4" t="str">
        <f>VLOOKUP(AQ51,'Team Hub'!$B$1:$F$65,5,false)</f>
        <v/>
      </c>
      <c r="AT51" s="5" t="s">
        <v>79</v>
      </c>
      <c r="AU51" s="5">
        <f>VLOOKUP(AT51,'Team Hub'!$B$1:$F$65,4,false)</f>
        <v>0</v>
      </c>
      <c r="AV51" s="4" t="str">
        <f>VLOOKUP(AT51,'Team Hub'!$B$1:$F$65,5,false)</f>
        <v/>
      </c>
      <c r="AW51" s="5" t="s">
        <v>103</v>
      </c>
      <c r="AX51" s="5">
        <f>VLOOKUP(AW51,'Team Hub'!$B$1:$F$65,4,false)</f>
        <v>0</v>
      </c>
      <c r="AY51" s="4" t="str">
        <f>VLOOKUP(AW51,'Team Hub'!$B$1:$F$65,5,false)</f>
        <v/>
      </c>
      <c r="AZ51" s="4" t="s">
        <v>69</v>
      </c>
    </row>
    <row r="52" ht="22.5" customHeight="1">
      <c r="A52" s="4" t="s">
        <v>167</v>
      </c>
      <c r="B52" s="2">
        <f t="shared" ref="B52:C52" si="51">sum(E52+H52+K52+N52+Q52+T52+W52+Z52+AC52+AF52+AI52+AL52+AO52+AR52+AU52+AX52)</f>
        <v>2350</v>
      </c>
      <c r="C52" s="2">
        <f t="shared" si="51"/>
        <v>0</v>
      </c>
      <c r="D52" s="5" t="s">
        <v>53</v>
      </c>
      <c r="E52" s="5">
        <f>VLOOKUP(D52,'Team Hub'!$B$1:$F$65,4,false)</f>
        <v>400</v>
      </c>
      <c r="F52" s="4" t="str">
        <f>VLOOKUP(D52,'Team Hub'!$B$1:$F$65,5,false)</f>
        <v/>
      </c>
      <c r="G52" s="5" t="s">
        <v>81</v>
      </c>
      <c r="H52" s="5">
        <f>VLOOKUP(G52,'Team Hub'!$B$1:$F$65,4,false)</f>
        <v>330</v>
      </c>
      <c r="I52" s="4" t="str">
        <f>VLOOKUP(G52,'Team Hub'!$B$1:$F$65,5,false)</f>
        <v/>
      </c>
      <c r="J52" s="5" t="s">
        <v>55</v>
      </c>
      <c r="K52" s="5">
        <f>VLOOKUP(J52,'Team Hub'!$B$1:$F$65,4,false)</f>
        <v>360</v>
      </c>
      <c r="L52" s="4" t="str">
        <f>VLOOKUP(J52,'Team Hub'!$B$1:$F$65,5,false)</f>
        <v/>
      </c>
      <c r="M52" s="5" t="s">
        <v>74</v>
      </c>
      <c r="N52" s="5">
        <f>VLOOKUP(M52,'Team Hub'!$B$1:$F$65,4,false)</f>
        <v>260</v>
      </c>
      <c r="O52" s="5" t="str">
        <f>VLOOKUP(M52,'Team Hub'!$B$1:$F$65,5,false)</f>
        <v/>
      </c>
      <c r="P52" s="5" t="s">
        <v>132</v>
      </c>
      <c r="Q52" s="5">
        <f>VLOOKUP(P52,'Team Hub'!$B$1:$F$65,4,false)</f>
        <v>0</v>
      </c>
      <c r="R52" s="5" t="str">
        <f>VLOOKUP(P52,'Team Hub'!$B$1:$F$65,5,false)</f>
        <v/>
      </c>
      <c r="S52" s="5" t="s">
        <v>58</v>
      </c>
      <c r="T52" s="5">
        <f>VLOOKUP(S52,'Team Hub'!$B$1:$F$65,4,false)</f>
        <v>300</v>
      </c>
      <c r="U52" s="5" t="str">
        <f>VLOOKUP(S52,'Team Hub'!$B$1:$F$65,5,false)</f>
        <v/>
      </c>
      <c r="V52" s="5" t="s">
        <v>59</v>
      </c>
      <c r="W52" s="5">
        <f>VLOOKUP(V52,'Team Hub'!$B$1:$F$65,4,false)</f>
        <v>160</v>
      </c>
      <c r="X52" s="5" t="str">
        <f>VLOOKUP(V52,'Team Hub'!$B$1:$F$65,5,false)</f>
        <v/>
      </c>
      <c r="Y52" s="5" t="s">
        <v>76</v>
      </c>
      <c r="Z52" s="5">
        <f>VLOOKUP(Y52,'Team Hub'!$B$1:$F$65,4,false)</f>
        <v>170</v>
      </c>
      <c r="AA52" s="4" t="str">
        <f>VLOOKUP(Y52,'Team Hub'!$B$1:$F$65,5,false)</f>
        <v/>
      </c>
      <c r="AB52" s="5" t="s">
        <v>94</v>
      </c>
      <c r="AC52" s="5">
        <f>VLOOKUP(AB52,'Team Hub'!$B$1:$F$65,4,false)</f>
        <v>180</v>
      </c>
      <c r="AD52" s="4" t="str">
        <f>VLOOKUP(AB52,'Team Hub'!$B$1:$F$65,5,false)</f>
        <v/>
      </c>
      <c r="AE52" s="5" t="s">
        <v>85</v>
      </c>
      <c r="AF52" s="5">
        <f>VLOOKUP(AE52,'Team Hub'!$B$1:$F$65,4,false)</f>
        <v>190</v>
      </c>
      <c r="AG52" s="4" t="str">
        <f>VLOOKUP(AE52,'Team Hub'!$B$1:$F$65,5,false)</f>
        <v/>
      </c>
      <c r="AH52" s="5" t="s">
        <v>116</v>
      </c>
      <c r="AI52" s="5">
        <f>VLOOKUP(AH52,'Team Hub'!$B$1:$F$65,4,false)</f>
        <v>0</v>
      </c>
      <c r="AJ52" s="4" t="str">
        <f>VLOOKUP(AH52,'Team Hub'!$B$1:$F$65,5,false)</f>
        <v/>
      </c>
      <c r="AK52" s="5" t="s">
        <v>138</v>
      </c>
      <c r="AL52" s="5">
        <f>VLOOKUP(AK52,'Team Hub'!$B$1:$F$65,4,false)</f>
        <v>0</v>
      </c>
      <c r="AM52" s="4" t="str">
        <f>VLOOKUP(AK52,'Team Hub'!$B$1:$F$65,5,false)</f>
        <v/>
      </c>
      <c r="AN52" s="5" t="s">
        <v>88</v>
      </c>
      <c r="AO52" s="5">
        <f>VLOOKUP(AN52,'Team Hub'!$B$1:$F$65,4,false)</f>
        <v>0</v>
      </c>
      <c r="AP52" s="4" t="str">
        <f>VLOOKUP(AN52,'Team Hub'!$B$1:$F$65,5,false)</f>
        <v/>
      </c>
      <c r="AQ52" s="5" t="s">
        <v>89</v>
      </c>
      <c r="AR52" s="5">
        <f>VLOOKUP(AQ52,'Team Hub'!$B$1:$F$65,4,false)</f>
        <v>0</v>
      </c>
      <c r="AS52" s="4" t="str">
        <f>VLOOKUP(AQ52,'Team Hub'!$B$1:$F$65,5,false)</f>
        <v/>
      </c>
      <c r="AT52" s="5" t="s">
        <v>67</v>
      </c>
      <c r="AU52" s="5">
        <f>VLOOKUP(AT52,'Team Hub'!$B$1:$F$65,4,false)</f>
        <v>0</v>
      </c>
      <c r="AV52" s="4" t="str">
        <f>VLOOKUP(AT52,'Team Hub'!$B$1:$F$65,5,false)</f>
        <v/>
      </c>
      <c r="AW52" s="5" t="s">
        <v>99</v>
      </c>
      <c r="AX52" s="5">
        <f>VLOOKUP(AW52,'Team Hub'!$B$1:$F$65,4,false)</f>
        <v>0</v>
      </c>
      <c r="AY52" s="4" t="str">
        <f>VLOOKUP(AW52,'Team Hub'!$B$1:$F$65,5,false)</f>
        <v/>
      </c>
      <c r="AZ52" s="4" t="s">
        <v>119</v>
      </c>
    </row>
    <row r="53" ht="22.5" customHeight="1">
      <c r="A53" s="4" t="s">
        <v>168</v>
      </c>
      <c r="B53" s="2">
        <f t="shared" ref="B53:C53" si="52">sum(E53+H53+K53+N53+Q53+T53+W53+Z53+AC53+AF53+AI53+AL53+AO53+AR53+AU53+AX53)</f>
        <v>2340</v>
      </c>
      <c r="C53" s="2">
        <f t="shared" si="52"/>
        <v>0</v>
      </c>
      <c r="D53" s="5" t="s">
        <v>91</v>
      </c>
      <c r="E53" s="5">
        <f>VLOOKUP(D53,'Team Hub'!$B$1:$F$65,4,false)</f>
        <v>400</v>
      </c>
      <c r="F53" s="4" t="str">
        <f>VLOOKUP(D53,'Team Hub'!$B$1:$F$65,5,false)</f>
        <v/>
      </c>
      <c r="G53" s="5" t="s">
        <v>72</v>
      </c>
      <c r="H53" s="5">
        <f>VLOOKUP(G53,'Team Hub'!$B$1:$F$65,4,false)</f>
        <v>330</v>
      </c>
      <c r="I53" s="5" t="str">
        <f>VLOOKUP(G53,'Team Hub'!$B$1:$F$65,5,false)</f>
        <v/>
      </c>
      <c r="J53" s="5" t="s">
        <v>55</v>
      </c>
      <c r="K53" s="5">
        <f>VLOOKUP(J53,'Team Hub'!$B$1:$F$65,4,false)</f>
        <v>360</v>
      </c>
      <c r="L53" s="4" t="str">
        <f>VLOOKUP(J53,'Team Hub'!$B$1:$F$65,5,false)</f>
        <v/>
      </c>
      <c r="M53" s="5" t="s">
        <v>74</v>
      </c>
      <c r="N53" s="5">
        <f>VLOOKUP(M53,'Team Hub'!$B$1:$F$65,4,false)</f>
        <v>260</v>
      </c>
      <c r="O53" s="5" t="str">
        <f>VLOOKUP(M53,'Team Hub'!$B$1:$F$65,5,false)</f>
        <v/>
      </c>
      <c r="P53" s="5" t="s">
        <v>57</v>
      </c>
      <c r="Q53" s="5">
        <f>VLOOKUP(P53,'Team Hub'!$B$1:$F$65,4,false)</f>
        <v>280</v>
      </c>
      <c r="R53" s="5" t="str">
        <f>VLOOKUP(P53,'Team Hub'!$B$1:$F$65,5,false)</f>
        <v/>
      </c>
      <c r="S53" s="5" t="s">
        <v>92</v>
      </c>
      <c r="T53" s="5">
        <f>VLOOKUP(S53,'Team Hub'!$B$1:$F$65,4,false)</f>
        <v>150</v>
      </c>
      <c r="U53" s="5" t="str">
        <f>VLOOKUP(S53,'Team Hub'!$B$1:$F$65,5,false)</f>
        <v/>
      </c>
      <c r="V53" s="5" t="s">
        <v>75</v>
      </c>
      <c r="W53" s="5">
        <f>VLOOKUP(V53,'Team Hub'!$B$1:$F$65,4,false)</f>
        <v>0</v>
      </c>
      <c r="X53" s="5" t="str">
        <f>VLOOKUP(V53,'Team Hub'!$B$1:$F$65,5,false)</f>
        <v/>
      </c>
      <c r="Y53" s="5" t="s">
        <v>126</v>
      </c>
      <c r="Z53" s="5">
        <f>VLOOKUP(Y53,'Team Hub'!$B$1:$F$65,4,false)</f>
        <v>0</v>
      </c>
      <c r="AA53" s="4" t="str">
        <f>VLOOKUP(Y53,'Team Hub'!$B$1:$F$65,5,false)</f>
        <v/>
      </c>
      <c r="AB53" s="5" t="s">
        <v>61</v>
      </c>
      <c r="AC53" s="5">
        <f>VLOOKUP(AB53,'Team Hub'!$B$1:$F$65,4,false)</f>
        <v>180</v>
      </c>
      <c r="AD53" s="4" t="str">
        <f>VLOOKUP(AB53,'Team Hub'!$B$1:$F$65,5,false)</f>
        <v/>
      </c>
      <c r="AE53" s="5" t="s">
        <v>62</v>
      </c>
      <c r="AF53" s="5">
        <f>VLOOKUP(AE53,'Team Hub'!$B$1:$F$65,4,false)</f>
        <v>380</v>
      </c>
      <c r="AG53" s="4" t="str">
        <f>VLOOKUP(AE53,'Team Hub'!$B$1:$F$65,5,false)</f>
        <v/>
      </c>
      <c r="AH53" s="5" t="s">
        <v>98</v>
      </c>
      <c r="AI53" s="5">
        <f>VLOOKUP(AH53,'Team Hub'!$B$1:$F$65,4,false)</f>
        <v>0</v>
      </c>
      <c r="AJ53" s="4" t="str">
        <f>VLOOKUP(AH53,'Team Hub'!$B$1:$F$65,5,false)</f>
        <v/>
      </c>
      <c r="AK53" s="5" t="s">
        <v>107</v>
      </c>
      <c r="AL53" s="5">
        <f>VLOOKUP(AK53,'Team Hub'!$B$1:$F$65,4,false)</f>
        <v>0</v>
      </c>
      <c r="AM53" s="4" t="str">
        <f>VLOOKUP(AK53,'Team Hub'!$B$1:$F$65,5,false)</f>
        <v/>
      </c>
      <c r="AN53" s="5" t="s">
        <v>88</v>
      </c>
      <c r="AO53" s="5">
        <f>VLOOKUP(AN53,'Team Hub'!$B$1:$F$65,4,false)</f>
        <v>0</v>
      </c>
      <c r="AP53" s="4" t="str">
        <f>VLOOKUP(AN53,'Team Hub'!$B$1:$F$65,5,false)</f>
        <v/>
      </c>
      <c r="AQ53" s="5" t="s">
        <v>89</v>
      </c>
      <c r="AR53" s="5">
        <f>VLOOKUP(AQ53,'Team Hub'!$B$1:$F$65,4,false)</f>
        <v>0</v>
      </c>
      <c r="AS53" s="4" t="str">
        <f>VLOOKUP(AQ53,'Team Hub'!$B$1:$F$65,5,false)</f>
        <v/>
      </c>
      <c r="AT53" s="5" t="s">
        <v>129</v>
      </c>
      <c r="AU53" s="5">
        <f>VLOOKUP(AT53,'Team Hub'!$B$1:$F$65,4,false)</f>
        <v>0</v>
      </c>
      <c r="AV53" s="4" t="str">
        <f>VLOOKUP(AT53,'Team Hub'!$B$1:$F$65,5,false)</f>
        <v/>
      </c>
      <c r="AW53" s="5" t="s">
        <v>103</v>
      </c>
      <c r="AX53" s="5">
        <f>VLOOKUP(AW53,'Team Hub'!$B$1:$F$65,4,false)</f>
        <v>0</v>
      </c>
      <c r="AY53" s="4" t="str">
        <f>VLOOKUP(AW53,'Team Hub'!$B$1:$F$65,5,false)</f>
        <v/>
      </c>
      <c r="AZ53" s="4" t="s">
        <v>69</v>
      </c>
    </row>
    <row r="54" ht="22.5" customHeight="1">
      <c r="A54" s="4" t="s">
        <v>169</v>
      </c>
      <c r="B54" s="2">
        <f t="shared" ref="B54:C54" si="53">sum(E54+H54+K54+N54+Q54+T54+W54+Z54+AC54+AF54+AI54+AL54+AO54+AR54+AU54+AX54)</f>
        <v>2330</v>
      </c>
      <c r="C54" s="2">
        <f t="shared" si="53"/>
        <v>0</v>
      </c>
      <c r="D54" s="5" t="s">
        <v>53</v>
      </c>
      <c r="E54" s="5">
        <f>VLOOKUP(D54,'Team Hub'!$B$1:$F$65,4,false)</f>
        <v>400</v>
      </c>
      <c r="F54" s="4" t="str">
        <f>VLOOKUP(D54,'Team Hub'!$B$1:$F$65,5,false)</f>
        <v/>
      </c>
      <c r="G54" s="5" t="s">
        <v>81</v>
      </c>
      <c r="H54" s="5">
        <f>VLOOKUP(G54,'Team Hub'!$B$1:$F$65,4,false)</f>
        <v>330</v>
      </c>
      <c r="I54" s="4" t="str">
        <f>VLOOKUP(G54,'Team Hub'!$B$1:$F$65,5,false)</f>
        <v/>
      </c>
      <c r="J54" s="5" t="s">
        <v>101</v>
      </c>
      <c r="K54" s="5">
        <f>VLOOKUP(J54,'Team Hub'!$B$1:$F$65,4,false)</f>
        <v>120</v>
      </c>
      <c r="L54" s="4" t="str">
        <f>VLOOKUP(J54,'Team Hub'!$B$1:$F$65,5,false)</f>
        <v/>
      </c>
      <c r="M54" s="5" t="s">
        <v>74</v>
      </c>
      <c r="N54" s="5">
        <f>VLOOKUP(M54,'Team Hub'!$B$1:$F$65,4,false)</f>
        <v>260</v>
      </c>
      <c r="O54" s="5" t="str">
        <f>VLOOKUP(M54,'Team Hub'!$B$1:$F$65,5,false)</f>
        <v/>
      </c>
      <c r="P54" s="5" t="s">
        <v>136</v>
      </c>
      <c r="Q54" s="5">
        <f>VLOOKUP(P54,'Team Hub'!$B$1:$F$65,4,false)</f>
        <v>0</v>
      </c>
      <c r="R54" s="5" t="str">
        <f>VLOOKUP(P54,'Team Hub'!$B$1:$F$65,5,false)</f>
        <v/>
      </c>
      <c r="S54" s="5" t="s">
        <v>82</v>
      </c>
      <c r="T54" s="5">
        <f>VLOOKUP(S54,'Team Hub'!$B$1:$F$65,4,false)</f>
        <v>300</v>
      </c>
      <c r="U54" s="5" t="str">
        <f>VLOOKUP(S54,'Team Hub'!$B$1:$F$65,5,false)</f>
        <v/>
      </c>
      <c r="V54" s="5" t="s">
        <v>93</v>
      </c>
      <c r="W54" s="5">
        <f>VLOOKUP(V54,'Team Hub'!$B$1:$F$65,4,false)</f>
        <v>160</v>
      </c>
      <c r="X54" s="5" t="str">
        <f>VLOOKUP(V54,'Team Hub'!$B$1:$F$65,5,false)</f>
        <v/>
      </c>
      <c r="Y54" s="5" t="s">
        <v>76</v>
      </c>
      <c r="Z54" s="5">
        <f>VLOOKUP(Y54,'Team Hub'!$B$1:$F$65,4,false)</f>
        <v>170</v>
      </c>
      <c r="AA54" s="4" t="str">
        <f>VLOOKUP(Y54,'Team Hub'!$B$1:$F$65,5,false)</f>
        <v/>
      </c>
      <c r="AB54" s="5" t="s">
        <v>94</v>
      </c>
      <c r="AC54" s="5">
        <f>VLOOKUP(AB54,'Team Hub'!$B$1:$F$65,4,false)</f>
        <v>180</v>
      </c>
      <c r="AD54" s="4" t="str">
        <f>VLOOKUP(AB54,'Team Hub'!$B$1:$F$65,5,false)</f>
        <v/>
      </c>
      <c r="AE54" s="5" t="s">
        <v>154</v>
      </c>
      <c r="AF54" s="5">
        <f>VLOOKUP(AE54,'Team Hub'!$B$1:$F$65,4,false)</f>
        <v>0</v>
      </c>
      <c r="AG54" s="4" t="str">
        <f>VLOOKUP(AE54,'Team Hub'!$B$1:$F$65,5,false)</f>
        <v/>
      </c>
      <c r="AH54" s="5" t="s">
        <v>86</v>
      </c>
      <c r="AI54" s="5">
        <f>VLOOKUP(AH54,'Team Hub'!$B$1:$F$65,4,false)</f>
        <v>200</v>
      </c>
      <c r="AJ54" s="4" t="str">
        <f>VLOOKUP(AH54,'Team Hub'!$B$1:$F$65,5,false)</f>
        <v/>
      </c>
      <c r="AK54" s="5" t="s">
        <v>64</v>
      </c>
      <c r="AL54" s="5">
        <f>VLOOKUP(AK54,'Team Hub'!$B$1:$F$65,4,false)</f>
        <v>210</v>
      </c>
      <c r="AM54" s="4" t="str">
        <f>VLOOKUP(AK54,'Team Hub'!$B$1:$F$65,5,false)</f>
        <v/>
      </c>
      <c r="AN54" s="5" t="s">
        <v>88</v>
      </c>
      <c r="AO54" s="5">
        <f>VLOOKUP(AN54,'Team Hub'!$B$1:$F$65,4,false)</f>
        <v>0</v>
      </c>
      <c r="AP54" s="4" t="str">
        <f>VLOOKUP(AN54,'Team Hub'!$B$1:$F$65,5,false)</f>
        <v/>
      </c>
      <c r="AQ54" s="5" t="s">
        <v>66</v>
      </c>
      <c r="AR54" s="5">
        <f>VLOOKUP(AQ54,'Team Hub'!$B$1:$F$65,4,false)</f>
        <v>0</v>
      </c>
      <c r="AS54" s="4" t="str">
        <f>VLOOKUP(AQ54,'Team Hub'!$B$1:$F$65,5,false)</f>
        <v/>
      </c>
      <c r="AT54" s="5" t="s">
        <v>79</v>
      </c>
      <c r="AU54" s="5">
        <f>VLOOKUP(AT54,'Team Hub'!$B$1:$F$65,4,false)</f>
        <v>0</v>
      </c>
      <c r="AV54" s="4" t="str">
        <f>VLOOKUP(AT54,'Team Hub'!$B$1:$F$65,5,false)</f>
        <v/>
      </c>
      <c r="AW54" s="5" t="s">
        <v>95</v>
      </c>
      <c r="AX54" s="5">
        <f>VLOOKUP(AW54,'Team Hub'!$B$1:$F$65,4,false)</f>
        <v>0</v>
      </c>
      <c r="AY54" s="4" t="str">
        <f>VLOOKUP(AW54,'Team Hub'!$B$1:$F$65,5,false)</f>
        <v/>
      </c>
      <c r="AZ54" s="4" t="s">
        <v>69</v>
      </c>
    </row>
    <row r="55" ht="22.5" customHeight="1">
      <c r="A55" s="4" t="s">
        <v>170</v>
      </c>
      <c r="B55" s="2">
        <f t="shared" ref="B55:C55" si="54">sum(E55+H55+K55+N55+Q55+T55+W55+Z55+AC55+AF55+AI55+AL55+AO55+AR55+AU55+AX55)</f>
        <v>2330</v>
      </c>
      <c r="C55" s="2">
        <f t="shared" si="54"/>
        <v>0</v>
      </c>
      <c r="D55" s="5" t="s">
        <v>53</v>
      </c>
      <c r="E55" s="5">
        <f>VLOOKUP(D55,'Team Hub'!$B$1:$F$65,4,false)</f>
        <v>400</v>
      </c>
      <c r="F55" s="4" t="str">
        <f>VLOOKUP(D55,'Team Hub'!$B$1:$F$65,5,false)</f>
        <v/>
      </c>
      <c r="G55" s="5" t="s">
        <v>81</v>
      </c>
      <c r="H55" s="5">
        <f>VLOOKUP(G55,'Team Hub'!$B$1:$F$65,4,false)</f>
        <v>330</v>
      </c>
      <c r="I55" s="4" t="str">
        <f>VLOOKUP(G55,'Team Hub'!$B$1:$F$65,5,false)</f>
        <v/>
      </c>
      <c r="J55" s="5" t="s">
        <v>101</v>
      </c>
      <c r="K55" s="5">
        <f>VLOOKUP(J55,'Team Hub'!$B$1:$F$65,4,false)</f>
        <v>120</v>
      </c>
      <c r="L55" s="4" t="str">
        <f>VLOOKUP(J55,'Team Hub'!$B$1:$F$65,5,false)</f>
        <v/>
      </c>
      <c r="M55" s="5" t="s">
        <v>56</v>
      </c>
      <c r="N55" s="5">
        <f>VLOOKUP(M55,'Team Hub'!$B$1:$F$65,4,false)</f>
        <v>260</v>
      </c>
      <c r="O55" s="5" t="str">
        <f>VLOOKUP(M55,'Team Hub'!$B$1:$F$65,5,false)</f>
        <v/>
      </c>
      <c r="P55" s="5" t="s">
        <v>57</v>
      </c>
      <c r="Q55" s="5">
        <f>VLOOKUP(P55,'Team Hub'!$B$1:$F$65,4,false)</f>
        <v>280</v>
      </c>
      <c r="R55" s="5" t="str">
        <f>VLOOKUP(P55,'Team Hub'!$B$1:$F$65,5,false)</f>
        <v/>
      </c>
      <c r="S55" s="5" t="s">
        <v>113</v>
      </c>
      <c r="T55" s="5">
        <f>VLOOKUP(S55,'Team Hub'!$B$1:$F$65,4,false)</f>
        <v>0</v>
      </c>
      <c r="U55" s="5" t="str">
        <f>VLOOKUP(S55,'Team Hub'!$B$1:$F$65,5,false)</f>
        <v/>
      </c>
      <c r="V55" s="5" t="s">
        <v>75</v>
      </c>
      <c r="W55" s="5">
        <f>VLOOKUP(V55,'Team Hub'!$B$1:$F$65,4,false)</f>
        <v>0</v>
      </c>
      <c r="X55" s="5" t="str">
        <f>VLOOKUP(V55,'Team Hub'!$B$1:$F$65,5,false)</f>
        <v/>
      </c>
      <c r="Y55" s="5" t="s">
        <v>76</v>
      </c>
      <c r="Z55" s="5">
        <f>VLOOKUP(Y55,'Team Hub'!$B$1:$F$65,4,false)</f>
        <v>170</v>
      </c>
      <c r="AA55" s="4" t="str">
        <f>VLOOKUP(Y55,'Team Hub'!$B$1:$F$65,5,false)</f>
        <v/>
      </c>
      <c r="AB55" s="5" t="s">
        <v>94</v>
      </c>
      <c r="AC55" s="5">
        <f>VLOOKUP(AB55,'Team Hub'!$B$1:$F$65,4,false)</f>
        <v>180</v>
      </c>
      <c r="AD55" s="4" t="str">
        <f>VLOOKUP(AB55,'Team Hub'!$B$1:$F$65,5,false)</f>
        <v/>
      </c>
      <c r="AE55" s="5" t="s">
        <v>62</v>
      </c>
      <c r="AF55" s="5">
        <f>VLOOKUP(AE55,'Team Hub'!$B$1:$F$65,4,false)</f>
        <v>380</v>
      </c>
      <c r="AG55" s="4" t="str">
        <f>VLOOKUP(AE55,'Team Hub'!$B$1:$F$65,5,false)</f>
        <v/>
      </c>
      <c r="AH55" s="5" t="s">
        <v>98</v>
      </c>
      <c r="AI55" s="5">
        <f>VLOOKUP(AH55,'Team Hub'!$B$1:$F$65,4,false)</f>
        <v>0</v>
      </c>
      <c r="AJ55" s="4" t="str">
        <f>VLOOKUP(AH55,'Team Hub'!$B$1:$F$65,5,false)</f>
        <v/>
      </c>
      <c r="AK55" s="5" t="s">
        <v>64</v>
      </c>
      <c r="AL55" s="5">
        <f>VLOOKUP(AK55,'Team Hub'!$B$1:$F$65,4,false)</f>
        <v>210</v>
      </c>
      <c r="AM55" s="4" t="str">
        <f>VLOOKUP(AK55,'Team Hub'!$B$1:$F$65,5,false)</f>
        <v/>
      </c>
      <c r="AN55" s="5" t="s">
        <v>77</v>
      </c>
      <c r="AO55" s="5">
        <f>VLOOKUP(AN55,'Team Hub'!$B$1:$F$65,4,false)</f>
        <v>0</v>
      </c>
      <c r="AP55" s="4" t="str">
        <f>VLOOKUP(AN55,'Team Hub'!$B$1:$F$65,5,false)</f>
        <v/>
      </c>
      <c r="AQ55" s="5" t="s">
        <v>66</v>
      </c>
      <c r="AR55" s="5">
        <f>VLOOKUP(AQ55,'Team Hub'!$B$1:$F$65,4,false)</f>
        <v>0</v>
      </c>
      <c r="AS55" s="4" t="str">
        <f>VLOOKUP(AQ55,'Team Hub'!$B$1:$F$65,5,false)</f>
        <v/>
      </c>
      <c r="AT55" s="5" t="s">
        <v>129</v>
      </c>
      <c r="AU55" s="5">
        <f>VLOOKUP(AT55,'Team Hub'!$B$1:$F$65,4,false)</f>
        <v>0</v>
      </c>
      <c r="AV55" s="4" t="str">
        <f>VLOOKUP(AT55,'Team Hub'!$B$1:$F$65,5,false)</f>
        <v/>
      </c>
      <c r="AW55" s="5" t="s">
        <v>68</v>
      </c>
      <c r="AX55" s="5">
        <f>VLOOKUP(AW55,'Team Hub'!$B$1:$F$65,4,false)</f>
        <v>0</v>
      </c>
      <c r="AY55" s="4" t="str">
        <f>VLOOKUP(AW55,'Team Hub'!$B$1:$F$65,5,false)</f>
        <v/>
      </c>
      <c r="AZ55" s="4" t="s">
        <v>69</v>
      </c>
    </row>
    <row r="56" ht="22.5" customHeight="1">
      <c r="A56" s="4" t="s">
        <v>171</v>
      </c>
      <c r="B56" s="2">
        <f t="shared" ref="B56:C56" si="55">sum(E56+H56+K56+N56+Q56+T56+W56+Z56+AC56+AF56+AI56+AL56+AO56+AR56+AU56+AX56)</f>
        <v>2320</v>
      </c>
      <c r="C56" s="2">
        <f t="shared" si="55"/>
        <v>0</v>
      </c>
      <c r="D56" s="5" t="s">
        <v>91</v>
      </c>
      <c r="E56" s="5">
        <f>VLOOKUP(D56,'Team Hub'!$B$1:$F$65,4,false)</f>
        <v>400</v>
      </c>
      <c r="F56" s="4" t="str">
        <f>VLOOKUP(D56,'Team Hub'!$B$1:$F$65,5,false)</f>
        <v/>
      </c>
      <c r="G56" s="5" t="s">
        <v>81</v>
      </c>
      <c r="H56" s="5">
        <f>VLOOKUP(G56,'Team Hub'!$B$1:$F$65,4,false)</f>
        <v>330</v>
      </c>
      <c r="I56" s="4" t="str">
        <f>VLOOKUP(G56,'Team Hub'!$B$1:$F$65,5,false)</f>
        <v/>
      </c>
      <c r="J56" s="5" t="s">
        <v>73</v>
      </c>
      <c r="K56" s="5">
        <f>VLOOKUP(J56,'Team Hub'!$B$1:$F$65,4,false)</f>
        <v>240</v>
      </c>
      <c r="L56" s="4" t="str">
        <f>VLOOKUP(J56,'Team Hub'!$B$1:$F$65,5,false)</f>
        <v/>
      </c>
      <c r="M56" s="5" t="s">
        <v>56</v>
      </c>
      <c r="N56" s="5">
        <f>VLOOKUP(M56,'Team Hub'!$B$1:$F$65,4,false)</f>
        <v>260</v>
      </c>
      <c r="O56" s="5" t="str">
        <f>VLOOKUP(M56,'Team Hub'!$B$1:$F$65,5,false)</f>
        <v/>
      </c>
      <c r="P56" s="5" t="s">
        <v>132</v>
      </c>
      <c r="Q56" s="5">
        <f>VLOOKUP(P56,'Team Hub'!$B$1:$F$65,4,false)</f>
        <v>0</v>
      </c>
      <c r="R56" s="5" t="str">
        <f>VLOOKUP(P56,'Team Hub'!$B$1:$F$65,5,false)</f>
        <v/>
      </c>
      <c r="S56" s="5" t="s">
        <v>92</v>
      </c>
      <c r="T56" s="5">
        <f>VLOOKUP(S56,'Team Hub'!$B$1:$F$65,4,false)</f>
        <v>150</v>
      </c>
      <c r="U56" s="5" t="str">
        <f>VLOOKUP(S56,'Team Hub'!$B$1:$F$65,5,false)</f>
        <v/>
      </c>
      <c r="V56" s="5" t="s">
        <v>83</v>
      </c>
      <c r="W56" s="5">
        <f>VLOOKUP(V56,'Team Hub'!$B$1:$F$65,4,false)</f>
        <v>0</v>
      </c>
      <c r="X56" s="5" t="str">
        <f>VLOOKUP(V56,'Team Hub'!$B$1:$F$65,5,false)</f>
        <v/>
      </c>
      <c r="Y56" s="5" t="s">
        <v>60</v>
      </c>
      <c r="Z56" s="5">
        <f>VLOOKUP(Y56,'Team Hub'!$B$1:$F$65,4,false)</f>
        <v>170</v>
      </c>
      <c r="AA56" s="4" t="str">
        <f>VLOOKUP(Y56,'Team Hub'!$B$1:$F$65,5,false)</f>
        <v/>
      </c>
      <c r="AB56" s="5" t="s">
        <v>61</v>
      </c>
      <c r="AC56" s="5">
        <f>VLOOKUP(AB56,'Team Hub'!$B$1:$F$65,4,false)</f>
        <v>180</v>
      </c>
      <c r="AD56" s="4" t="str">
        <f>VLOOKUP(AB56,'Team Hub'!$B$1:$F$65,5,false)</f>
        <v/>
      </c>
      <c r="AE56" s="5" t="s">
        <v>62</v>
      </c>
      <c r="AF56" s="5">
        <f>VLOOKUP(AE56,'Team Hub'!$B$1:$F$65,4,false)</f>
        <v>380</v>
      </c>
      <c r="AG56" s="4" t="str">
        <f>VLOOKUP(AE56,'Team Hub'!$B$1:$F$65,5,false)</f>
        <v/>
      </c>
      <c r="AH56" s="5" t="s">
        <v>63</v>
      </c>
      <c r="AI56" s="5">
        <f>VLOOKUP(AH56,'Team Hub'!$B$1:$F$65,4,false)</f>
        <v>0</v>
      </c>
      <c r="AJ56" s="4" t="str">
        <f>VLOOKUP(AH56,'Team Hub'!$B$1:$F$65,5,false)</f>
        <v/>
      </c>
      <c r="AK56" s="5" t="s">
        <v>64</v>
      </c>
      <c r="AL56" s="5">
        <f>VLOOKUP(AK56,'Team Hub'!$B$1:$F$65,4,false)</f>
        <v>210</v>
      </c>
      <c r="AM56" s="4" t="str">
        <f>VLOOKUP(AK56,'Team Hub'!$B$1:$F$65,5,false)</f>
        <v/>
      </c>
      <c r="AN56" s="5" t="s">
        <v>110</v>
      </c>
      <c r="AO56" s="5">
        <f>VLOOKUP(AN56,'Team Hub'!$B$1:$F$65,4,false)</f>
        <v>0</v>
      </c>
      <c r="AP56" s="4" t="str">
        <f>VLOOKUP(AN56,'Team Hub'!$B$1:$F$65,5,false)</f>
        <v/>
      </c>
      <c r="AQ56" s="5" t="s">
        <v>78</v>
      </c>
      <c r="AR56" s="5">
        <f>VLOOKUP(AQ56,'Team Hub'!$B$1:$F$65,4,false)</f>
        <v>0</v>
      </c>
      <c r="AS56" s="4" t="str">
        <f>VLOOKUP(AQ56,'Team Hub'!$B$1:$F$65,5,false)</f>
        <v/>
      </c>
      <c r="AT56" s="5" t="s">
        <v>79</v>
      </c>
      <c r="AU56" s="5">
        <f>VLOOKUP(AT56,'Team Hub'!$B$1:$F$65,4,false)</f>
        <v>0</v>
      </c>
      <c r="AV56" s="4" t="str">
        <f>VLOOKUP(AT56,'Team Hub'!$B$1:$F$65,5,false)</f>
        <v/>
      </c>
      <c r="AW56" s="5" t="s">
        <v>99</v>
      </c>
      <c r="AX56" s="5">
        <f>VLOOKUP(AW56,'Team Hub'!$B$1:$F$65,4,false)</f>
        <v>0</v>
      </c>
      <c r="AY56" s="4" t="str">
        <f>VLOOKUP(AW56,'Team Hub'!$B$1:$F$65,5,false)</f>
        <v/>
      </c>
      <c r="AZ56" s="4" t="s">
        <v>69</v>
      </c>
    </row>
    <row r="57" ht="22.5" customHeight="1">
      <c r="A57" s="4" t="s">
        <v>172</v>
      </c>
      <c r="B57" s="2">
        <f t="shared" ref="B57:C57" si="56">sum(E57+H57+K57+N57+Q57+T57+W57+Z57+AC57+AF57+AI57+AL57+AO57+AR57+AU57+AX57)</f>
        <v>2320</v>
      </c>
      <c r="C57" s="2">
        <f t="shared" si="56"/>
        <v>0</v>
      </c>
      <c r="D57" s="5" t="s">
        <v>53</v>
      </c>
      <c r="E57" s="5">
        <f>VLOOKUP(D57,'Team Hub'!$B$1:$F$65,4,false)</f>
        <v>400</v>
      </c>
      <c r="F57" s="4" t="str">
        <f>VLOOKUP(D57,'Team Hub'!$B$1:$F$65,5,false)</f>
        <v/>
      </c>
      <c r="G57" s="5" t="s">
        <v>81</v>
      </c>
      <c r="H57" s="5">
        <f>VLOOKUP(G57,'Team Hub'!$B$1:$F$65,4,false)</f>
        <v>330</v>
      </c>
      <c r="I57" s="4" t="str">
        <f>VLOOKUP(G57,'Team Hub'!$B$1:$F$65,5,false)</f>
        <v/>
      </c>
      <c r="J57" s="5" t="s">
        <v>73</v>
      </c>
      <c r="K57" s="5">
        <f>VLOOKUP(J57,'Team Hub'!$B$1:$F$65,4,false)</f>
        <v>240</v>
      </c>
      <c r="L57" s="4" t="str">
        <f>VLOOKUP(J57,'Team Hub'!$B$1:$F$65,5,false)</f>
        <v/>
      </c>
      <c r="M57" s="5" t="s">
        <v>56</v>
      </c>
      <c r="N57" s="5">
        <f>VLOOKUP(M57,'Team Hub'!$B$1:$F$65,4,false)</f>
        <v>260</v>
      </c>
      <c r="O57" s="5" t="str">
        <f>VLOOKUP(M57,'Team Hub'!$B$1:$F$65,5,false)</f>
        <v/>
      </c>
      <c r="P57" s="5" t="s">
        <v>132</v>
      </c>
      <c r="Q57" s="5">
        <f>VLOOKUP(P57,'Team Hub'!$B$1:$F$65,4,false)</f>
        <v>0</v>
      </c>
      <c r="R57" s="5" t="str">
        <f>VLOOKUP(P57,'Team Hub'!$B$1:$F$65,5,false)</f>
        <v/>
      </c>
      <c r="S57" s="5" t="s">
        <v>92</v>
      </c>
      <c r="T57" s="5">
        <f>VLOOKUP(S57,'Team Hub'!$B$1:$F$65,4,false)</f>
        <v>150</v>
      </c>
      <c r="U57" s="5" t="str">
        <f>VLOOKUP(S57,'Team Hub'!$B$1:$F$65,5,false)</f>
        <v/>
      </c>
      <c r="V57" s="5" t="s">
        <v>83</v>
      </c>
      <c r="W57" s="5">
        <f>VLOOKUP(V57,'Team Hub'!$B$1:$F$65,4,false)</f>
        <v>0</v>
      </c>
      <c r="X57" s="5" t="str">
        <f>VLOOKUP(V57,'Team Hub'!$B$1:$F$65,5,false)</f>
        <v/>
      </c>
      <c r="Y57" s="5" t="s">
        <v>76</v>
      </c>
      <c r="Z57" s="5">
        <f>VLOOKUP(Y57,'Team Hub'!$B$1:$F$65,4,false)</f>
        <v>170</v>
      </c>
      <c r="AA57" s="4" t="str">
        <f>VLOOKUP(Y57,'Team Hub'!$B$1:$F$65,5,false)</f>
        <v/>
      </c>
      <c r="AB57" s="5" t="s">
        <v>61</v>
      </c>
      <c r="AC57" s="5">
        <f>VLOOKUP(AB57,'Team Hub'!$B$1:$F$65,4,false)</f>
        <v>180</v>
      </c>
      <c r="AD57" s="4" t="str">
        <f>VLOOKUP(AB57,'Team Hub'!$B$1:$F$65,5,false)</f>
        <v/>
      </c>
      <c r="AE57" s="5" t="s">
        <v>62</v>
      </c>
      <c r="AF57" s="5">
        <f>VLOOKUP(AE57,'Team Hub'!$B$1:$F$65,4,false)</f>
        <v>380</v>
      </c>
      <c r="AG57" s="4" t="str">
        <f>VLOOKUP(AE57,'Team Hub'!$B$1:$F$65,5,false)</f>
        <v/>
      </c>
      <c r="AH57" s="5" t="s">
        <v>98</v>
      </c>
      <c r="AI57" s="5">
        <f>VLOOKUP(AH57,'Team Hub'!$B$1:$F$65,4,false)</f>
        <v>0</v>
      </c>
      <c r="AJ57" s="4" t="str">
        <f>VLOOKUP(AH57,'Team Hub'!$B$1:$F$65,5,false)</f>
        <v/>
      </c>
      <c r="AK57" s="5" t="s">
        <v>64</v>
      </c>
      <c r="AL57" s="5">
        <f>VLOOKUP(AK57,'Team Hub'!$B$1:$F$65,4,false)</f>
        <v>210</v>
      </c>
      <c r="AM57" s="4" t="str">
        <f>VLOOKUP(AK57,'Team Hub'!$B$1:$F$65,5,false)</f>
        <v/>
      </c>
      <c r="AN57" s="5" t="s">
        <v>88</v>
      </c>
      <c r="AO57" s="5">
        <f>VLOOKUP(AN57,'Team Hub'!$B$1:$F$65,4,false)</f>
        <v>0</v>
      </c>
      <c r="AP57" s="4" t="str">
        <f>VLOOKUP(AN57,'Team Hub'!$B$1:$F$65,5,false)</f>
        <v/>
      </c>
      <c r="AQ57" s="5" t="s">
        <v>78</v>
      </c>
      <c r="AR57" s="5">
        <f>VLOOKUP(AQ57,'Team Hub'!$B$1:$F$65,4,false)</f>
        <v>0</v>
      </c>
      <c r="AS57" s="4" t="str">
        <f>VLOOKUP(AQ57,'Team Hub'!$B$1:$F$65,5,false)</f>
        <v/>
      </c>
      <c r="AT57" s="5" t="s">
        <v>79</v>
      </c>
      <c r="AU57" s="5">
        <f>VLOOKUP(AT57,'Team Hub'!$B$1:$F$65,4,false)</f>
        <v>0</v>
      </c>
      <c r="AV57" s="4" t="str">
        <f>VLOOKUP(AT57,'Team Hub'!$B$1:$F$65,5,false)</f>
        <v/>
      </c>
      <c r="AW57" s="5" t="s">
        <v>95</v>
      </c>
      <c r="AX57" s="5">
        <f>VLOOKUP(AW57,'Team Hub'!$B$1:$F$65,4,false)</f>
        <v>0</v>
      </c>
      <c r="AY57" s="4" t="str">
        <f>VLOOKUP(AW57,'Team Hub'!$B$1:$F$65,5,false)</f>
        <v/>
      </c>
      <c r="AZ57" s="4" t="s">
        <v>69</v>
      </c>
    </row>
    <row r="58" ht="22.5" customHeight="1">
      <c r="A58" s="4" t="s">
        <v>173</v>
      </c>
      <c r="B58" s="2">
        <f t="shared" ref="B58:C58" si="57">sum(E58+H58+K58+N58+Q58+T58+W58+Z58+AC58+AF58+AI58+AL58+AO58+AR58+AU58+AX58)</f>
        <v>2320</v>
      </c>
      <c r="C58" s="2">
        <f t="shared" si="57"/>
        <v>0</v>
      </c>
      <c r="D58" s="5" t="s">
        <v>53</v>
      </c>
      <c r="E58" s="5">
        <f>VLOOKUP(D58,'Team Hub'!$B$1:$F$65,4,false)</f>
        <v>400</v>
      </c>
      <c r="F58" s="4" t="str">
        <f>VLOOKUP(D58,'Team Hub'!$B$1:$F$65,5,false)</f>
        <v/>
      </c>
      <c r="G58" s="5" t="s">
        <v>81</v>
      </c>
      <c r="H58" s="5">
        <f>VLOOKUP(G58,'Team Hub'!$B$1:$F$65,4,false)</f>
        <v>330</v>
      </c>
      <c r="I58" s="4" t="str">
        <f>VLOOKUP(G58,'Team Hub'!$B$1:$F$65,5,false)</f>
        <v/>
      </c>
      <c r="J58" s="5" t="s">
        <v>73</v>
      </c>
      <c r="K58" s="5">
        <f>VLOOKUP(J58,'Team Hub'!$B$1:$F$65,4,false)</f>
        <v>240</v>
      </c>
      <c r="L58" s="4" t="str">
        <f>VLOOKUP(J58,'Team Hub'!$B$1:$F$65,5,false)</f>
        <v/>
      </c>
      <c r="M58" s="5" t="s">
        <v>142</v>
      </c>
      <c r="N58" s="5">
        <f>VLOOKUP(M58,'Team Hub'!$B$1:$F$65,4,false)</f>
        <v>130</v>
      </c>
      <c r="O58" s="5" t="str">
        <f>VLOOKUP(M58,'Team Hub'!$B$1:$F$65,5,false)</f>
        <v/>
      </c>
      <c r="P58" s="5" t="s">
        <v>57</v>
      </c>
      <c r="Q58" s="5">
        <f>VLOOKUP(P58,'Team Hub'!$B$1:$F$65,4,false)</f>
        <v>280</v>
      </c>
      <c r="R58" s="5" t="str">
        <f>VLOOKUP(P58,'Team Hub'!$B$1:$F$65,5,false)</f>
        <v/>
      </c>
      <c r="S58" s="5" t="s">
        <v>113</v>
      </c>
      <c r="T58" s="5">
        <f>VLOOKUP(S58,'Team Hub'!$B$1:$F$65,4,false)</f>
        <v>0</v>
      </c>
      <c r="U58" s="5" t="str">
        <f>VLOOKUP(S58,'Team Hub'!$B$1:$F$65,5,false)</f>
        <v/>
      </c>
      <c r="V58" s="5" t="s">
        <v>83</v>
      </c>
      <c r="W58" s="5">
        <f>VLOOKUP(V58,'Team Hub'!$B$1:$F$65,4,false)</f>
        <v>0</v>
      </c>
      <c r="X58" s="5" t="str">
        <f>VLOOKUP(V58,'Team Hub'!$B$1:$F$65,5,false)</f>
        <v/>
      </c>
      <c r="Y58" s="5" t="s">
        <v>76</v>
      </c>
      <c r="Z58" s="5">
        <f>VLOOKUP(Y58,'Team Hub'!$B$1:$F$65,4,false)</f>
        <v>170</v>
      </c>
      <c r="AA58" s="4" t="str">
        <f>VLOOKUP(Y58,'Team Hub'!$B$1:$F$65,5,false)</f>
        <v/>
      </c>
      <c r="AB58" s="5" t="s">
        <v>94</v>
      </c>
      <c r="AC58" s="5">
        <f>VLOOKUP(AB58,'Team Hub'!$B$1:$F$65,4,false)</f>
        <v>180</v>
      </c>
      <c r="AD58" s="4" t="str">
        <f>VLOOKUP(AB58,'Team Hub'!$B$1:$F$65,5,false)</f>
        <v/>
      </c>
      <c r="AE58" s="5" t="s">
        <v>62</v>
      </c>
      <c r="AF58" s="5">
        <f>VLOOKUP(AE58,'Team Hub'!$B$1:$F$65,4,false)</f>
        <v>380</v>
      </c>
      <c r="AG58" s="4" t="str">
        <f>VLOOKUP(AE58,'Team Hub'!$B$1:$F$65,5,false)</f>
        <v/>
      </c>
      <c r="AH58" s="5" t="s">
        <v>98</v>
      </c>
      <c r="AI58" s="5">
        <f>VLOOKUP(AH58,'Team Hub'!$B$1:$F$65,4,false)</f>
        <v>0</v>
      </c>
      <c r="AJ58" s="4" t="str">
        <f>VLOOKUP(AH58,'Team Hub'!$B$1:$F$65,5,false)</f>
        <v/>
      </c>
      <c r="AK58" s="5" t="s">
        <v>64</v>
      </c>
      <c r="AL58" s="5">
        <f>VLOOKUP(AK58,'Team Hub'!$B$1:$F$65,4,false)</f>
        <v>210</v>
      </c>
      <c r="AM58" s="4" t="str">
        <f>VLOOKUP(AK58,'Team Hub'!$B$1:$F$65,5,false)</f>
        <v/>
      </c>
      <c r="AN58" s="5" t="s">
        <v>65</v>
      </c>
      <c r="AO58" s="5">
        <f>VLOOKUP(AN58,'Team Hub'!$B$1:$F$65,4,false)</f>
        <v>0</v>
      </c>
      <c r="AP58" s="4" t="str">
        <f>VLOOKUP(AN58,'Team Hub'!$B$1:$F$65,5,false)</f>
        <v/>
      </c>
      <c r="AQ58" s="5" t="s">
        <v>117</v>
      </c>
      <c r="AR58" s="5">
        <f>VLOOKUP(AQ58,'Team Hub'!$B$1:$F$65,4,false)</f>
        <v>0</v>
      </c>
      <c r="AS58" s="4" t="str">
        <f>VLOOKUP(AQ58,'Team Hub'!$B$1:$F$65,5,false)</f>
        <v/>
      </c>
      <c r="AT58" s="5" t="s">
        <v>105</v>
      </c>
      <c r="AU58" s="5">
        <f>VLOOKUP(AT58,'Team Hub'!$B$1:$F$65,4,false)</f>
        <v>0</v>
      </c>
      <c r="AV58" s="5" t="str">
        <f>VLOOKUP(AT58,'Team Hub'!$B$1:$F$65,5,false)</f>
        <v/>
      </c>
      <c r="AW58" s="5" t="s">
        <v>99</v>
      </c>
      <c r="AX58" s="5">
        <f>VLOOKUP(AW58,'Team Hub'!$B$1:$F$65,4,false)</f>
        <v>0</v>
      </c>
      <c r="AY58" s="4" t="str">
        <f>VLOOKUP(AW58,'Team Hub'!$B$1:$F$65,5,false)</f>
        <v/>
      </c>
      <c r="AZ58" s="4" t="s">
        <v>69</v>
      </c>
    </row>
    <row r="59" ht="22.5" customHeight="1">
      <c r="A59" s="4" t="s">
        <v>174</v>
      </c>
      <c r="B59" s="2">
        <f t="shared" ref="B59:C59" si="58">sum(E59+H59+K59+N59+Q59+T59+W59+Z59+AC59+AF59+AI59+AL59+AO59+AR59+AU59+AX59)</f>
        <v>2320</v>
      </c>
      <c r="C59" s="2">
        <f t="shared" si="58"/>
        <v>1</v>
      </c>
      <c r="D59" s="4" t="s">
        <v>71</v>
      </c>
      <c r="E59" s="4">
        <f>VLOOKUP(D59,'Team Hub'!$B$1:$F$65,4,false)</f>
        <v>600</v>
      </c>
      <c r="F59" s="4">
        <f>VLOOKUP(D59,'Team Hub'!$B$1:$F$65,5,false)</f>
        <v>1</v>
      </c>
      <c r="G59" s="5" t="s">
        <v>81</v>
      </c>
      <c r="H59" s="5">
        <f>VLOOKUP(G59,'Team Hub'!$B$1:$F$65,4,false)</f>
        <v>330</v>
      </c>
      <c r="I59" s="4" t="str">
        <f>VLOOKUP(G59,'Team Hub'!$B$1:$F$65,5,false)</f>
        <v/>
      </c>
      <c r="J59" s="5" t="s">
        <v>101</v>
      </c>
      <c r="K59" s="5">
        <f>VLOOKUP(J59,'Team Hub'!$B$1:$F$65,4,false)</f>
        <v>120</v>
      </c>
      <c r="L59" s="4" t="str">
        <f>VLOOKUP(J59,'Team Hub'!$B$1:$F$65,5,false)</f>
        <v/>
      </c>
      <c r="M59" s="5" t="s">
        <v>97</v>
      </c>
      <c r="N59" s="5">
        <f>VLOOKUP(M59,'Team Hub'!$B$1:$F$65,4,false)</f>
        <v>260</v>
      </c>
      <c r="O59" s="5" t="str">
        <f>VLOOKUP(M59,'Team Hub'!$B$1:$F$65,5,false)</f>
        <v/>
      </c>
      <c r="P59" s="5" t="s">
        <v>57</v>
      </c>
      <c r="Q59" s="5">
        <f>VLOOKUP(P59,'Team Hub'!$B$1:$F$65,4,false)</f>
        <v>280</v>
      </c>
      <c r="R59" s="5" t="str">
        <f>VLOOKUP(P59,'Team Hub'!$B$1:$F$65,5,false)</f>
        <v/>
      </c>
      <c r="S59" s="5" t="s">
        <v>113</v>
      </c>
      <c r="T59" s="5">
        <f>VLOOKUP(S59,'Team Hub'!$B$1:$F$65,4,false)</f>
        <v>0</v>
      </c>
      <c r="U59" s="5" t="str">
        <f>VLOOKUP(S59,'Team Hub'!$B$1:$F$65,5,false)</f>
        <v/>
      </c>
      <c r="V59" s="5" t="s">
        <v>93</v>
      </c>
      <c r="W59" s="5">
        <f>VLOOKUP(V59,'Team Hub'!$B$1:$F$65,4,false)</f>
        <v>160</v>
      </c>
      <c r="X59" s="5" t="str">
        <f>VLOOKUP(V59,'Team Hub'!$B$1:$F$65,5,false)</f>
        <v/>
      </c>
      <c r="Y59" s="5" t="s">
        <v>76</v>
      </c>
      <c r="Z59" s="5">
        <f>VLOOKUP(Y59,'Team Hub'!$B$1:$F$65,4,false)</f>
        <v>170</v>
      </c>
      <c r="AA59" s="4" t="str">
        <f>VLOOKUP(Y59,'Team Hub'!$B$1:$F$65,5,false)</f>
        <v/>
      </c>
      <c r="AB59" s="5" t="s">
        <v>114</v>
      </c>
      <c r="AC59" s="5">
        <f>VLOOKUP(AB59,'Team Hub'!$B$1:$F$65,4,false)</f>
        <v>0</v>
      </c>
      <c r="AD59" s="4" t="str">
        <f>VLOOKUP(AB59,'Team Hub'!$B$1:$F$65,5,false)</f>
        <v/>
      </c>
      <c r="AE59" s="5" t="s">
        <v>85</v>
      </c>
      <c r="AF59" s="5">
        <f>VLOOKUP(AE59,'Team Hub'!$B$1:$F$65,4,false)</f>
        <v>190</v>
      </c>
      <c r="AG59" s="4" t="str">
        <f>VLOOKUP(AE59,'Team Hub'!$B$1:$F$65,5,false)</f>
        <v/>
      </c>
      <c r="AH59" s="5" t="s">
        <v>98</v>
      </c>
      <c r="AI59" s="5">
        <f>VLOOKUP(AH59,'Team Hub'!$B$1:$F$65,4,false)</f>
        <v>0</v>
      </c>
      <c r="AJ59" s="4" t="str">
        <f>VLOOKUP(AH59,'Team Hub'!$B$1:$F$65,5,false)</f>
        <v/>
      </c>
      <c r="AK59" s="5" t="s">
        <v>64</v>
      </c>
      <c r="AL59" s="5">
        <f>VLOOKUP(AK59,'Team Hub'!$B$1:$F$65,4,false)</f>
        <v>210</v>
      </c>
      <c r="AM59" s="4" t="str">
        <f>VLOOKUP(AK59,'Team Hub'!$B$1:$F$65,5,false)</f>
        <v/>
      </c>
      <c r="AN59" s="5" t="s">
        <v>88</v>
      </c>
      <c r="AO59" s="5">
        <f>VLOOKUP(AN59,'Team Hub'!$B$1:$F$65,4,false)</f>
        <v>0</v>
      </c>
      <c r="AP59" s="4" t="str">
        <f>VLOOKUP(AN59,'Team Hub'!$B$1:$F$65,5,false)</f>
        <v/>
      </c>
      <c r="AQ59" s="5" t="s">
        <v>66</v>
      </c>
      <c r="AR59" s="5">
        <f>VLOOKUP(AQ59,'Team Hub'!$B$1:$F$65,4,false)</f>
        <v>0</v>
      </c>
      <c r="AS59" s="4" t="str">
        <f>VLOOKUP(AQ59,'Team Hub'!$B$1:$F$65,5,false)</f>
        <v/>
      </c>
      <c r="AT59" s="5" t="s">
        <v>129</v>
      </c>
      <c r="AU59" s="5">
        <f>VLOOKUP(AT59,'Team Hub'!$B$1:$F$65,4,false)</f>
        <v>0</v>
      </c>
      <c r="AV59" s="4" t="str">
        <f>VLOOKUP(AT59,'Team Hub'!$B$1:$F$65,5,false)</f>
        <v/>
      </c>
      <c r="AW59" s="5" t="s">
        <v>95</v>
      </c>
      <c r="AX59" s="5">
        <f>VLOOKUP(AW59,'Team Hub'!$B$1:$F$65,4,false)</f>
        <v>0</v>
      </c>
      <c r="AY59" s="4" t="str">
        <f>VLOOKUP(AW59,'Team Hub'!$B$1:$F$65,5,false)</f>
        <v/>
      </c>
      <c r="AZ59" s="4" t="s">
        <v>69</v>
      </c>
    </row>
    <row r="60" ht="22.5" customHeight="1">
      <c r="A60" s="4" t="s">
        <v>175</v>
      </c>
      <c r="B60" s="2">
        <f t="shared" ref="B60:C60" si="59">sum(E60+H60+K60+N60+Q60+T60+W60+Z60+AC60+AF60+AI60+AL60+AO60+AR60+AU60+AX60)</f>
        <v>2310</v>
      </c>
      <c r="C60" s="2">
        <f t="shared" si="59"/>
        <v>1</v>
      </c>
      <c r="D60" s="4" t="s">
        <v>71</v>
      </c>
      <c r="E60" s="4">
        <f>VLOOKUP(D60,'Team Hub'!$B$1:$F$65,4,false)</f>
        <v>600</v>
      </c>
      <c r="F60" s="4">
        <f>VLOOKUP(D60,'Team Hub'!$B$1:$F$65,5,false)</f>
        <v>1</v>
      </c>
      <c r="G60" s="5" t="s">
        <v>54</v>
      </c>
      <c r="H60" s="5">
        <f>VLOOKUP(G60,'Team Hub'!$B$1:$F$65,4,false)</f>
        <v>330</v>
      </c>
      <c r="I60" s="4" t="str">
        <f>VLOOKUP(G60,'Team Hub'!$B$1:$F$65,5,false)</f>
        <v/>
      </c>
      <c r="J60" s="5" t="s">
        <v>121</v>
      </c>
      <c r="K60" s="5">
        <f>VLOOKUP(J60,'Team Hub'!$B$1:$F$65,4,false)</f>
        <v>120</v>
      </c>
      <c r="L60" s="4" t="str">
        <f>VLOOKUP(J60,'Team Hub'!$B$1:$F$65,5,false)</f>
        <v/>
      </c>
      <c r="M60" s="5" t="s">
        <v>97</v>
      </c>
      <c r="N60" s="5">
        <f>VLOOKUP(M60,'Team Hub'!$B$1:$F$65,4,false)</f>
        <v>260</v>
      </c>
      <c r="O60" s="5" t="str">
        <f>VLOOKUP(M60,'Team Hub'!$B$1:$F$65,5,false)</f>
        <v/>
      </c>
      <c r="P60" s="5" t="s">
        <v>57</v>
      </c>
      <c r="Q60" s="5">
        <f>VLOOKUP(P60,'Team Hub'!$B$1:$F$65,4,false)</f>
        <v>280</v>
      </c>
      <c r="R60" s="5" t="str">
        <f>VLOOKUP(P60,'Team Hub'!$B$1:$F$65,5,false)</f>
        <v/>
      </c>
      <c r="S60" s="5" t="s">
        <v>113</v>
      </c>
      <c r="T60" s="5">
        <f>VLOOKUP(S60,'Team Hub'!$B$1:$F$65,4,false)</f>
        <v>0</v>
      </c>
      <c r="U60" s="5" t="str">
        <f>VLOOKUP(S60,'Team Hub'!$B$1:$F$65,5,false)</f>
        <v/>
      </c>
      <c r="V60" s="5" t="s">
        <v>59</v>
      </c>
      <c r="W60" s="5">
        <f>VLOOKUP(V60,'Team Hub'!$B$1:$F$65,4,false)</f>
        <v>160</v>
      </c>
      <c r="X60" s="5" t="str">
        <f>VLOOKUP(V60,'Team Hub'!$B$1:$F$65,5,false)</f>
        <v/>
      </c>
      <c r="Y60" s="5" t="s">
        <v>76</v>
      </c>
      <c r="Z60" s="5">
        <f>VLOOKUP(Y60,'Team Hub'!$B$1:$F$65,4,false)</f>
        <v>170</v>
      </c>
      <c r="AA60" s="4" t="str">
        <f>VLOOKUP(Y60,'Team Hub'!$B$1:$F$65,5,false)</f>
        <v/>
      </c>
      <c r="AB60" s="5" t="s">
        <v>94</v>
      </c>
      <c r="AC60" s="5">
        <f>VLOOKUP(AB60,'Team Hub'!$B$1:$F$65,4,false)</f>
        <v>180</v>
      </c>
      <c r="AD60" s="4" t="str">
        <f>VLOOKUP(AB60,'Team Hub'!$B$1:$F$65,5,false)</f>
        <v/>
      </c>
      <c r="AE60" s="5" t="s">
        <v>123</v>
      </c>
      <c r="AF60" s="5">
        <f>VLOOKUP(AE60,'Team Hub'!$B$1:$F$65,4,false)</f>
        <v>0</v>
      </c>
      <c r="AG60" s="4" t="str">
        <f>VLOOKUP(AE60,'Team Hub'!$B$1:$F$65,5,false)</f>
        <v/>
      </c>
      <c r="AH60" s="5" t="s">
        <v>98</v>
      </c>
      <c r="AI60" s="5">
        <f>VLOOKUP(AH60,'Team Hub'!$B$1:$F$65,4,false)</f>
        <v>0</v>
      </c>
      <c r="AJ60" s="4" t="str">
        <f>VLOOKUP(AH60,'Team Hub'!$B$1:$F$65,5,false)</f>
        <v/>
      </c>
      <c r="AK60" s="5" t="s">
        <v>64</v>
      </c>
      <c r="AL60" s="5">
        <f>VLOOKUP(AK60,'Team Hub'!$B$1:$F$65,4,false)</f>
        <v>210</v>
      </c>
      <c r="AM60" s="4" t="str">
        <f>VLOOKUP(AK60,'Team Hub'!$B$1:$F$65,5,false)</f>
        <v/>
      </c>
      <c r="AN60" s="5" t="s">
        <v>88</v>
      </c>
      <c r="AO60" s="5">
        <f>VLOOKUP(AN60,'Team Hub'!$B$1:$F$65,4,false)</f>
        <v>0</v>
      </c>
      <c r="AP60" s="4" t="str">
        <f>VLOOKUP(AN60,'Team Hub'!$B$1:$F$65,5,false)</f>
        <v/>
      </c>
      <c r="AQ60" s="5" t="s">
        <v>66</v>
      </c>
      <c r="AR60" s="5">
        <f>VLOOKUP(AQ60,'Team Hub'!$B$1:$F$65,4,false)</f>
        <v>0</v>
      </c>
      <c r="AS60" s="4" t="str">
        <f>VLOOKUP(AQ60,'Team Hub'!$B$1:$F$65,5,false)</f>
        <v/>
      </c>
      <c r="AT60" s="5" t="s">
        <v>105</v>
      </c>
      <c r="AU60" s="5">
        <f>VLOOKUP(AT60,'Team Hub'!$B$1:$F$65,4,false)</f>
        <v>0</v>
      </c>
      <c r="AV60" s="5" t="str">
        <f>VLOOKUP(AT60,'Team Hub'!$B$1:$F$65,5,false)</f>
        <v/>
      </c>
      <c r="AW60" s="5" t="s">
        <v>103</v>
      </c>
      <c r="AX60" s="5">
        <f>VLOOKUP(AW60,'Team Hub'!$B$1:$F$65,4,false)</f>
        <v>0</v>
      </c>
      <c r="AY60" s="4" t="str">
        <f>VLOOKUP(AW60,'Team Hub'!$B$1:$F$65,5,false)</f>
        <v/>
      </c>
      <c r="AZ60" s="4" t="s">
        <v>69</v>
      </c>
    </row>
    <row r="61" ht="22.5" customHeight="1">
      <c r="A61" s="4" t="s">
        <v>176</v>
      </c>
      <c r="B61" s="2">
        <f t="shared" ref="B61:C61" si="60">sum(E61+H61+K61+N61+Q61+T61+W61+Z61+AC61+AF61+AI61+AL61+AO61+AR61+AU61+AX61)</f>
        <v>2300</v>
      </c>
      <c r="C61" s="2">
        <f t="shared" si="60"/>
        <v>0</v>
      </c>
      <c r="D61" s="5" t="s">
        <v>91</v>
      </c>
      <c r="E61" s="5">
        <f>VLOOKUP(D61,'Team Hub'!$B$1:$F$65,4,false)</f>
        <v>400</v>
      </c>
      <c r="F61" s="4" t="str">
        <f>VLOOKUP(D61,'Team Hub'!$B$1:$F$65,5,false)</f>
        <v/>
      </c>
      <c r="G61" s="5" t="s">
        <v>81</v>
      </c>
      <c r="H61" s="5">
        <f>VLOOKUP(G61,'Team Hub'!$B$1:$F$65,4,false)</f>
        <v>330</v>
      </c>
      <c r="I61" s="4" t="str">
        <f>VLOOKUP(G61,'Team Hub'!$B$1:$F$65,5,false)</f>
        <v/>
      </c>
      <c r="J61" s="5" t="s">
        <v>73</v>
      </c>
      <c r="K61" s="5">
        <f>VLOOKUP(J61,'Team Hub'!$B$1:$F$65,4,false)</f>
        <v>240</v>
      </c>
      <c r="L61" s="4" t="str">
        <f>VLOOKUP(J61,'Team Hub'!$B$1:$F$65,5,false)</f>
        <v/>
      </c>
      <c r="M61" s="5" t="s">
        <v>56</v>
      </c>
      <c r="N61" s="5">
        <f>VLOOKUP(M61,'Team Hub'!$B$1:$F$65,4,false)</f>
        <v>260</v>
      </c>
      <c r="O61" s="5" t="str">
        <f>VLOOKUP(M61,'Team Hub'!$B$1:$F$65,5,false)</f>
        <v/>
      </c>
      <c r="P61" s="5" t="s">
        <v>132</v>
      </c>
      <c r="Q61" s="5">
        <f>VLOOKUP(P61,'Team Hub'!$B$1:$F$65,4,false)</f>
        <v>0</v>
      </c>
      <c r="R61" s="5" t="str">
        <f>VLOOKUP(P61,'Team Hub'!$B$1:$F$65,5,false)</f>
        <v/>
      </c>
      <c r="S61" s="5" t="s">
        <v>92</v>
      </c>
      <c r="T61" s="5">
        <f>VLOOKUP(S61,'Team Hub'!$B$1:$F$65,4,false)</f>
        <v>150</v>
      </c>
      <c r="U61" s="5" t="str">
        <f>VLOOKUP(S61,'Team Hub'!$B$1:$F$65,5,false)</f>
        <v/>
      </c>
      <c r="V61" s="5" t="s">
        <v>59</v>
      </c>
      <c r="W61" s="5">
        <f>VLOOKUP(V61,'Team Hub'!$B$1:$F$65,4,false)</f>
        <v>160</v>
      </c>
      <c r="X61" s="5" t="str">
        <f>VLOOKUP(V61,'Team Hub'!$B$1:$F$65,5,false)</f>
        <v/>
      </c>
      <c r="Y61" s="5" t="s">
        <v>60</v>
      </c>
      <c r="Z61" s="5">
        <f>VLOOKUP(Y61,'Team Hub'!$B$1:$F$65,4,false)</f>
        <v>170</v>
      </c>
      <c r="AA61" s="4" t="str">
        <f>VLOOKUP(Y61,'Team Hub'!$B$1:$F$65,5,false)</f>
        <v/>
      </c>
      <c r="AB61" s="5" t="s">
        <v>84</v>
      </c>
      <c r="AC61" s="5">
        <f>VLOOKUP(AB61,'Team Hub'!$B$1:$F$65,4,false)</f>
        <v>0</v>
      </c>
      <c r="AD61" s="4" t="str">
        <f>VLOOKUP(AB61,'Team Hub'!$B$1:$F$65,5,false)</f>
        <v/>
      </c>
      <c r="AE61" s="5" t="s">
        <v>62</v>
      </c>
      <c r="AF61" s="5">
        <f>VLOOKUP(AE61,'Team Hub'!$B$1:$F$65,4,false)</f>
        <v>380</v>
      </c>
      <c r="AG61" s="4" t="str">
        <f>VLOOKUP(AE61,'Team Hub'!$B$1:$F$65,5,false)</f>
        <v/>
      </c>
      <c r="AH61" s="5" t="s">
        <v>98</v>
      </c>
      <c r="AI61" s="5">
        <f>VLOOKUP(AH61,'Team Hub'!$B$1:$F$65,4,false)</f>
        <v>0</v>
      </c>
      <c r="AJ61" s="4" t="str">
        <f>VLOOKUP(AH61,'Team Hub'!$B$1:$F$65,5,false)</f>
        <v/>
      </c>
      <c r="AK61" s="5" t="s">
        <v>64</v>
      </c>
      <c r="AL61" s="5">
        <f>VLOOKUP(AK61,'Team Hub'!$B$1:$F$65,4,false)</f>
        <v>210</v>
      </c>
      <c r="AM61" s="4" t="str">
        <f>VLOOKUP(AK61,'Team Hub'!$B$1:$F$65,5,false)</f>
        <v/>
      </c>
      <c r="AN61" s="5" t="s">
        <v>110</v>
      </c>
      <c r="AO61" s="5">
        <f>VLOOKUP(AN61,'Team Hub'!$B$1:$F$65,4,false)</f>
        <v>0</v>
      </c>
      <c r="AP61" s="4" t="str">
        <f>VLOOKUP(AN61,'Team Hub'!$B$1:$F$65,5,false)</f>
        <v/>
      </c>
      <c r="AQ61" s="5" t="s">
        <v>117</v>
      </c>
      <c r="AR61" s="5">
        <f>VLOOKUP(AQ61,'Team Hub'!$B$1:$F$65,4,false)</f>
        <v>0</v>
      </c>
      <c r="AS61" s="4" t="str">
        <f>VLOOKUP(AQ61,'Team Hub'!$B$1:$F$65,5,false)</f>
        <v/>
      </c>
      <c r="AT61" s="5" t="s">
        <v>105</v>
      </c>
      <c r="AU61" s="5">
        <f>VLOOKUP(AT61,'Team Hub'!$B$1:$F$65,4,false)</f>
        <v>0</v>
      </c>
      <c r="AV61" s="5" t="str">
        <f>VLOOKUP(AT61,'Team Hub'!$B$1:$F$65,5,false)</f>
        <v/>
      </c>
      <c r="AW61" s="5" t="s">
        <v>68</v>
      </c>
      <c r="AX61" s="5">
        <f>VLOOKUP(AW61,'Team Hub'!$B$1:$F$65,4,false)</f>
        <v>0</v>
      </c>
      <c r="AY61" s="4" t="str">
        <f>VLOOKUP(AW61,'Team Hub'!$B$1:$F$65,5,false)</f>
        <v/>
      </c>
      <c r="AZ61" s="4" t="s">
        <v>69</v>
      </c>
    </row>
    <row r="62" ht="22.5" customHeight="1">
      <c r="A62" s="4" t="s">
        <v>131</v>
      </c>
      <c r="B62" s="2">
        <f t="shared" ref="B62:C62" si="61">sum(E62+H62+K62+N62+Q62+T62+W62+Z62+AC62+AF62+AI62+AL62+AO62+AR62+AU62+AX62)</f>
        <v>2290</v>
      </c>
      <c r="C62" s="2">
        <f t="shared" si="61"/>
        <v>0</v>
      </c>
      <c r="D62" s="5" t="s">
        <v>53</v>
      </c>
      <c r="E62" s="5">
        <f>VLOOKUP(D62,'Team Hub'!$B$1:$F$65,4,false)</f>
        <v>400</v>
      </c>
      <c r="F62" s="4" t="str">
        <f>VLOOKUP(D62,'Team Hub'!$B$1:$F$65,5,false)</f>
        <v/>
      </c>
      <c r="G62" s="5" t="s">
        <v>81</v>
      </c>
      <c r="H62" s="5">
        <f>VLOOKUP(G62,'Team Hub'!$B$1:$F$65,4,false)</f>
        <v>330</v>
      </c>
      <c r="I62" s="4" t="str">
        <f>VLOOKUP(G62,'Team Hub'!$B$1:$F$65,5,false)</f>
        <v/>
      </c>
      <c r="J62" s="5" t="s">
        <v>73</v>
      </c>
      <c r="K62" s="5">
        <f>VLOOKUP(J62,'Team Hub'!$B$1:$F$65,4,false)</f>
        <v>240</v>
      </c>
      <c r="L62" s="4" t="str">
        <f>VLOOKUP(J62,'Team Hub'!$B$1:$F$65,5,false)</f>
        <v/>
      </c>
      <c r="M62" s="5" t="s">
        <v>56</v>
      </c>
      <c r="N62" s="5">
        <f>VLOOKUP(M62,'Team Hub'!$B$1:$F$65,4,false)</f>
        <v>260</v>
      </c>
      <c r="O62" s="5" t="str">
        <f>VLOOKUP(M62,'Team Hub'!$B$1:$F$65,5,false)</f>
        <v/>
      </c>
      <c r="P62" s="5" t="s">
        <v>132</v>
      </c>
      <c r="Q62" s="5">
        <f>VLOOKUP(P62,'Team Hub'!$B$1:$F$65,4,false)</f>
        <v>0</v>
      </c>
      <c r="R62" s="5" t="str">
        <f>VLOOKUP(P62,'Team Hub'!$B$1:$F$65,5,false)</f>
        <v/>
      </c>
      <c r="S62" s="5" t="s">
        <v>92</v>
      </c>
      <c r="T62" s="5">
        <f>VLOOKUP(S62,'Team Hub'!$B$1:$F$65,4,false)</f>
        <v>150</v>
      </c>
      <c r="U62" s="5" t="str">
        <f>VLOOKUP(S62,'Team Hub'!$B$1:$F$65,5,false)</f>
        <v/>
      </c>
      <c r="V62" s="5" t="s">
        <v>59</v>
      </c>
      <c r="W62" s="5">
        <f>VLOOKUP(V62,'Team Hub'!$B$1:$F$65,4,false)</f>
        <v>160</v>
      </c>
      <c r="X62" s="5" t="str">
        <f>VLOOKUP(V62,'Team Hub'!$B$1:$F$65,5,false)</f>
        <v/>
      </c>
      <c r="Y62" s="5" t="s">
        <v>76</v>
      </c>
      <c r="Z62" s="5">
        <f>VLOOKUP(Y62,'Team Hub'!$B$1:$F$65,4,false)</f>
        <v>170</v>
      </c>
      <c r="AA62" s="4" t="str">
        <f>VLOOKUP(Y62,'Team Hub'!$B$1:$F$65,5,false)</f>
        <v/>
      </c>
      <c r="AB62" s="5" t="s">
        <v>94</v>
      </c>
      <c r="AC62" s="5">
        <f>VLOOKUP(AB62,'Team Hub'!$B$1:$F$65,4,false)</f>
        <v>180</v>
      </c>
      <c r="AD62" s="4" t="str">
        <f>VLOOKUP(AB62,'Team Hub'!$B$1:$F$65,5,false)</f>
        <v/>
      </c>
      <c r="AE62" s="5" t="s">
        <v>85</v>
      </c>
      <c r="AF62" s="5">
        <f>VLOOKUP(AE62,'Team Hub'!$B$1:$F$65,4,false)</f>
        <v>190</v>
      </c>
      <c r="AG62" s="4" t="str">
        <f>VLOOKUP(AE62,'Team Hub'!$B$1:$F$65,5,false)</f>
        <v/>
      </c>
      <c r="AH62" s="5" t="s">
        <v>98</v>
      </c>
      <c r="AI62" s="5">
        <f>VLOOKUP(AH62,'Team Hub'!$B$1:$F$65,4,false)</f>
        <v>0</v>
      </c>
      <c r="AJ62" s="4" t="str">
        <f>VLOOKUP(AH62,'Team Hub'!$B$1:$F$65,5,false)</f>
        <v/>
      </c>
      <c r="AK62" s="5" t="s">
        <v>64</v>
      </c>
      <c r="AL62" s="5">
        <f>VLOOKUP(AK62,'Team Hub'!$B$1:$F$65,4,false)</f>
        <v>210</v>
      </c>
      <c r="AM62" s="4" t="str">
        <f>VLOOKUP(AK62,'Team Hub'!$B$1:$F$65,5,false)</f>
        <v/>
      </c>
      <c r="AN62" s="5" t="s">
        <v>88</v>
      </c>
      <c r="AO62" s="5">
        <f>VLOOKUP(AN62,'Team Hub'!$B$1:$F$65,4,false)</f>
        <v>0</v>
      </c>
      <c r="AP62" s="4" t="str">
        <f>VLOOKUP(AN62,'Team Hub'!$B$1:$F$65,5,false)</f>
        <v/>
      </c>
      <c r="AQ62" s="5" t="s">
        <v>89</v>
      </c>
      <c r="AR62" s="5">
        <f>VLOOKUP(AQ62,'Team Hub'!$B$1:$F$65,4,false)</f>
        <v>0</v>
      </c>
      <c r="AS62" s="4" t="str">
        <f>VLOOKUP(AQ62,'Team Hub'!$B$1:$F$65,5,false)</f>
        <v/>
      </c>
      <c r="AT62" s="5" t="s">
        <v>129</v>
      </c>
      <c r="AU62" s="5">
        <f>VLOOKUP(AT62,'Team Hub'!$B$1:$F$65,4,false)</f>
        <v>0</v>
      </c>
      <c r="AV62" s="4" t="str">
        <f>VLOOKUP(AT62,'Team Hub'!$B$1:$F$65,5,false)</f>
        <v/>
      </c>
      <c r="AW62" s="5" t="s">
        <v>103</v>
      </c>
      <c r="AX62" s="5">
        <f>VLOOKUP(AW62,'Team Hub'!$B$1:$F$65,4,false)</f>
        <v>0</v>
      </c>
      <c r="AY62" s="4" t="str">
        <f>VLOOKUP(AW62,'Team Hub'!$B$1:$F$65,5,false)</f>
        <v/>
      </c>
      <c r="AZ62" s="4" t="s">
        <v>69</v>
      </c>
    </row>
    <row r="63" ht="22.5" customHeight="1">
      <c r="A63" s="4" t="s">
        <v>177</v>
      </c>
      <c r="B63" s="2">
        <f t="shared" ref="B63:C63" si="62">sum(E63+H63+K63+N63+Q63+T63+W63+Z63+AC63+AF63+AI63+AL63+AO63+AR63+AU63+AX63)</f>
        <v>2290</v>
      </c>
      <c r="C63" s="2">
        <f t="shared" si="62"/>
        <v>0</v>
      </c>
      <c r="D63" s="5" t="s">
        <v>53</v>
      </c>
      <c r="E63" s="5">
        <f>VLOOKUP(D63,'Team Hub'!$B$1:$F$65,4,false)</f>
        <v>400</v>
      </c>
      <c r="F63" s="4" t="str">
        <f>VLOOKUP(D63,'Team Hub'!$B$1:$F$65,5,false)</f>
        <v/>
      </c>
      <c r="G63" s="5" t="s">
        <v>54</v>
      </c>
      <c r="H63" s="5">
        <f>VLOOKUP(G63,'Team Hub'!$B$1:$F$65,4,false)</f>
        <v>330</v>
      </c>
      <c r="I63" s="4" t="str">
        <f>VLOOKUP(G63,'Team Hub'!$B$1:$F$65,5,false)</f>
        <v/>
      </c>
      <c r="J63" s="5" t="s">
        <v>55</v>
      </c>
      <c r="K63" s="5">
        <f>VLOOKUP(J63,'Team Hub'!$B$1:$F$65,4,false)</f>
        <v>360</v>
      </c>
      <c r="L63" s="4" t="str">
        <f>VLOOKUP(J63,'Team Hub'!$B$1:$F$65,5,false)</f>
        <v/>
      </c>
      <c r="M63" s="5" t="s">
        <v>97</v>
      </c>
      <c r="N63" s="5">
        <f>VLOOKUP(M63,'Team Hub'!$B$1:$F$65,4,false)</f>
        <v>260</v>
      </c>
      <c r="O63" s="5" t="str">
        <f>VLOOKUP(M63,'Team Hub'!$B$1:$F$65,5,false)</f>
        <v/>
      </c>
      <c r="P63" s="5" t="s">
        <v>132</v>
      </c>
      <c r="Q63" s="5">
        <f>VLOOKUP(P63,'Team Hub'!$B$1:$F$65,4,false)</f>
        <v>0</v>
      </c>
      <c r="R63" s="5" t="str">
        <f>VLOOKUP(P63,'Team Hub'!$B$1:$F$65,5,false)</f>
        <v/>
      </c>
      <c r="S63" s="5" t="s">
        <v>113</v>
      </c>
      <c r="T63" s="5">
        <f>VLOOKUP(S63,'Team Hub'!$B$1:$F$65,4,false)</f>
        <v>0</v>
      </c>
      <c r="U63" s="5" t="str">
        <f>VLOOKUP(S63,'Team Hub'!$B$1:$F$65,5,false)</f>
        <v/>
      </c>
      <c r="V63" s="5" t="s">
        <v>75</v>
      </c>
      <c r="W63" s="5">
        <f>VLOOKUP(V63,'Team Hub'!$B$1:$F$65,4,false)</f>
        <v>0</v>
      </c>
      <c r="X63" s="5" t="str">
        <f>VLOOKUP(V63,'Team Hub'!$B$1:$F$65,5,false)</f>
        <v/>
      </c>
      <c r="Y63" s="5" t="s">
        <v>76</v>
      </c>
      <c r="Z63" s="5">
        <f>VLOOKUP(Y63,'Team Hub'!$B$1:$F$65,4,false)</f>
        <v>170</v>
      </c>
      <c r="AA63" s="4" t="str">
        <f>VLOOKUP(Y63,'Team Hub'!$B$1:$F$65,5,false)</f>
        <v/>
      </c>
      <c r="AB63" s="5" t="s">
        <v>94</v>
      </c>
      <c r="AC63" s="5">
        <f>VLOOKUP(AB63,'Team Hub'!$B$1:$F$65,4,false)</f>
        <v>180</v>
      </c>
      <c r="AD63" s="4" t="str">
        <f>VLOOKUP(AB63,'Team Hub'!$B$1:$F$65,5,false)</f>
        <v/>
      </c>
      <c r="AE63" s="5" t="s">
        <v>62</v>
      </c>
      <c r="AF63" s="5">
        <f>VLOOKUP(AE63,'Team Hub'!$B$1:$F$65,4,false)</f>
        <v>380</v>
      </c>
      <c r="AG63" s="4" t="str">
        <f>VLOOKUP(AE63,'Team Hub'!$B$1:$F$65,5,false)</f>
        <v/>
      </c>
      <c r="AH63" s="5" t="s">
        <v>116</v>
      </c>
      <c r="AI63" s="5">
        <f>VLOOKUP(AH63,'Team Hub'!$B$1:$F$65,4,false)</f>
        <v>0</v>
      </c>
      <c r="AJ63" s="4" t="str">
        <f>VLOOKUP(AH63,'Team Hub'!$B$1:$F$65,5,false)</f>
        <v/>
      </c>
      <c r="AK63" s="5" t="s">
        <v>64</v>
      </c>
      <c r="AL63" s="5">
        <f>VLOOKUP(AK63,'Team Hub'!$B$1:$F$65,4,false)</f>
        <v>210</v>
      </c>
      <c r="AM63" s="4" t="str">
        <f>VLOOKUP(AK63,'Team Hub'!$B$1:$F$65,5,false)</f>
        <v/>
      </c>
      <c r="AN63" s="5" t="s">
        <v>77</v>
      </c>
      <c r="AO63" s="5">
        <f>VLOOKUP(AN63,'Team Hub'!$B$1:$F$65,4,false)</f>
        <v>0</v>
      </c>
      <c r="AP63" s="4" t="str">
        <f>VLOOKUP(AN63,'Team Hub'!$B$1:$F$65,5,false)</f>
        <v/>
      </c>
      <c r="AQ63" s="5" t="s">
        <v>89</v>
      </c>
      <c r="AR63" s="5">
        <f>VLOOKUP(AQ63,'Team Hub'!$B$1:$F$65,4,false)</f>
        <v>0</v>
      </c>
      <c r="AS63" s="4" t="str">
        <f>VLOOKUP(AQ63,'Team Hub'!$B$1:$F$65,5,false)</f>
        <v/>
      </c>
      <c r="AT63" s="5" t="s">
        <v>67</v>
      </c>
      <c r="AU63" s="5">
        <f>VLOOKUP(AT63,'Team Hub'!$B$1:$F$65,4,false)</f>
        <v>0</v>
      </c>
      <c r="AV63" s="4" t="str">
        <f>VLOOKUP(AT63,'Team Hub'!$B$1:$F$65,5,false)</f>
        <v/>
      </c>
      <c r="AW63" s="5" t="s">
        <v>103</v>
      </c>
      <c r="AX63" s="5">
        <f>VLOOKUP(AW63,'Team Hub'!$B$1:$F$65,4,false)</f>
        <v>0</v>
      </c>
      <c r="AY63" s="4" t="str">
        <f>VLOOKUP(AW63,'Team Hub'!$B$1:$F$65,5,false)</f>
        <v/>
      </c>
      <c r="AZ63" s="4" t="s">
        <v>69</v>
      </c>
    </row>
    <row r="64" ht="22.5" customHeight="1">
      <c r="A64" s="4" t="s">
        <v>178</v>
      </c>
      <c r="B64" s="2">
        <f t="shared" ref="B64:C64" si="63">sum(E64+H64+K64+N64+Q64+T64+W64+Z64+AC64+AF64+AI64+AL64+AO64+AR64+AU64+AX64)</f>
        <v>2260</v>
      </c>
      <c r="C64" s="2">
        <f t="shared" si="63"/>
        <v>0</v>
      </c>
      <c r="D64" s="5" t="s">
        <v>53</v>
      </c>
      <c r="E64" s="5">
        <f>VLOOKUP(D64,'Team Hub'!$B$1:$F$65,4,false)</f>
        <v>400</v>
      </c>
      <c r="F64" s="4" t="str">
        <f>VLOOKUP(D64,'Team Hub'!$B$1:$F$65,5,false)</f>
        <v/>
      </c>
      <c r="G64" s="5" t="s">
        <v>109</v>
      </c>
      <c r="H64" s="5">
        <f>VLOOKUP(G64,'Team Hub'!$B$1:$F$65,4,false)</f>
        <v>110</v>
      </c>
      <c r="I64" s="4" t="str">
        <f>VLOOKUP(G64,'Team Hub'!$B$1:$F$65,5,false)</f>
        <v/>
      </c>
      <c r="J64" s="5" t="s">
        <v>73</v>
      </c>
      <c r="K64" s="5">
        <f>VLOOKUP(J64,'Team Hub'!$B$1:$F$65,4,false)</f>
        <v>240</v>
      </c>
      <c r="L64" s="4" t="str">
        <f>VLOOKUP(J64,'Team Hub'!$B$1:$F$65,5,false)</f>
        <v/>
      </c>
      <c r="M64" s="5" t="s">
        <v>97</v>
      </c>
      <c r="N64" s="5">
        <f>VLOOKUP(M64,'Team Hub'!$B$1:$F$65,4,false)</f>
        <v>260</v>
      </c>
      <c r="O64" s="5" t="str">
        <f>VLOOKUP(M64,'Team Hub'!$B$1:$F$65,5,false)</f>
        <v/>
      </c>
      <c r="P64" s="5" t="s">
        <v>136</v>
      </c>
      <c r="Q64" s="5">
        <f>VLOOKUP(P64,'Team Hub'!$B$1:$F$65,4,false)</f>
        <v>0</v>
      </c>
      <c r="R64" s="5" t="str">
        <f>VLOOKUP(P64,'Team Hub'!$B$1:$F$65,5,false)</f>
        <v/>
      </c>
      <c r="S64" s="5" t="s">
        <v>82</v>
      </c>
      <c r="T64" s="5">
        <f>VLOOKUP(S64,'Team Hub'!$B$1:$F$65,4,false)</f>
        <v>300</v>
      </c>
      <c r="U64" s="5" t="str">
        <f>VLOOKUP(S64,'Team Hub'!$B$1:$F$65,5,false)</f>
        <v/>
      </c>
      <c r="V64" s="5" t="s">
        <v>83</v>
      </c>
      <c r="W64" s="5">
        <f>VLOOKUP(V64,'Team Hub'!$B$1:$F$65,4,false)</f>
        <v>0</v>
      </c>
      <c r="X64" s="5" t="str">
        <f>VLOOKUP(V64,'Team Hub'!$B$1:$F$65,5,false)</f>
        <v/>
      </c>
      <c r="Y64" s="5" t="s">
        <v>60</v>
      </c>
      <c r="Z64" s="5">
        <f>VLOOKUP(Y64,'Team Hub'!$B$1:$F$65,4,false)</f>
        <v>170</v>
      </c>
      <c r="AA64" s="4" t="str">
        <f>VLOOKUP(Y64,'Team Hub'!$B$1:$F$65,5,false)</f>
        <v/>
      </c>
      <c r="AB64" s="5" t="s">
        <v>61</v>
      </c>
      <c r="AC64" s="5">
        <f>VLOOKUP(AB64,'Team Hub'!$B$1:$F$65,4,false)</f>
        <v>180</v>
      </c>
      <c r="AD64" s="4" t="str">
        <f>VLOOKUP(AB64,'Team Hub'!$B$1:$F$65,5,false)</f>
        <v/>
      </c>
      <c r="AE64" s="5" t="s">
        <v>85</v>
      </c>
      <c r="AF64" s="5">
        <f>VLOOKUP(AE64,'Team Hub'!$B$1:$F$65,4,false)</f>
        <v>190</v>
      </c>
      <c r="AG64" s="4" t="str">
        <f>VLOOKUP(AE64,'Team Hub'!$B$1:$F$65,5,false)</f>
        <v/>
      </c>
      <c r="AH64" s="5" t="s">
        <v>86</v>
      </c>
      <c r="AI64" s="5">
        <f>VLOOKUP(AH64,'Team Hub'!$B$1:$F$65,4,false)</f>
        <v>200</v>
      </c>
      <c r="AJ64" s="4" t="str">
        <f>VLOOKUP(AH64,'Team Hub'!$B$1:$F$65,5,false)</f>
        <v/>
      </c>
      <c r="AK64" s="5" t="s">
        <v>87</v>
      </c>
      <c r="AL64" s="5">
        <f>VLOOKUP(AK64,'Team Hub'!$B$1:$F$65,4,false)</f>
        <v>210</v>
      </c>
      <c r="AM64" s="4" t="str">
        <f>VLOOKUP(AK64,'Team Hub'!$B$1:$F$65,5,false)</f>
        <v/>
      </c>
      <c r="AN64" s="5" t="s">
        <v>88</v>
      </c>
      <c r="AO64" s="5">
        <f>VLOOKUP(AN64,'Team Hub'!$B$1:$F$65,4,false)</f>
        <v>0</v>
      </c>
      <c r="AP64" s="4" t="str">
        <f>VLOOKUP(AN64,'Team Hub'!$B$1:$F$65,5,false)</f>
        <v/>
      </c>
      <c r="AQ64" s="5" t="s">
        <v>89</v>
      </c>
      <c r="AR64" s="5">
        <f>VLOOKUP(AQ64,'Team Hub'!$B$1:$F$65,4,false)</f>
        <v>0</v>
      </c>
      <c r="AS64" s="4" t="str">
        <f>VLOOKUP(AQ64,'Team Hub'!$B$1:$F$65,5,false)</f>
        <v/>
      </c>
      <c r="AT64" s="5" t="s">
        <v>105</v>
      </c>
      <c r="AU64" s="5">
        <f>VLOOKUP(AT64,'Team Hub'!$B$1:$F$65,4,false)</f>
        <v>0</v>
      </c>
      <c r="AV64" s="5" t="str">
        <f>VLOOKUP(AT64,'Team Hub'!$B$1:$F$65,5,false)</f>
        <v/>
      </c>
      <c r="AW64" s="5" t="s">
        <v>68</v>
      </c>
      <c r="AX64" s="5">
        <f>VLOOKUP(AW64,'Team Hub'!$B$1:$F$65,4,false)</f>
        <v>0</v>
      </c>
      <c r="AY64" s="4" t="str">
        <f>VLOOKUP(AW64,'Team Hub'!$B$1:$F$65,5,false)</f>
        <v/>
      </c>
      <c r="AZ64" s="4" t="s">
        <v>69</v>
      </c>
    </row>
    <row r="65" ht="22.5" customHeight="1">
      <c r="A65" s="4" t="s">
        <v>179</v>
      </c>
      <c r="B65" s="2">
        <f t="shared" ref="B65:C65" si="64">sum(E65+H65+K65+N65+Q65+T65+W65+Z65+AC65+AF65+AI65+AL65+AO65+AR65+AU65+AX65)</f>
        <v>2260</v>
      </c>
      <c r="C65" s="2">
        <f t="shared" si="64"/>
        <v>0</v>
      </c>
      <c r="D65" s="5" t="s">
        <v>53</v>
      </c>
      <c r="E65" s="5">
        <f>VLOOKUP(D65,'Team Hub'!$B$1:$F$65,4,false)</f>
        <v>400</v>
      </c>
      <c r="F65" s="4" t="str">
        <f>VLOOKUP(D65,'Team Hub'!$B$1:$F$65,5,false)</f>
        <v/>
      </c>
      <c r="G65" s="5" t="s">
        <v>54</v>
      </c>
      <c r="H65" s="5">
        <f>VLOOKUP(G65,'Team Hub'!$B$1:$F$65,4,false)</f>
        <v>330</v>
      </c>
      <c r="I65" s="4" t="str">
        <f>VLOOKUP(G65,'Team Hub'!$B$1:$F$65,5,false)</f>
        <v/>
      </c>
      <c r="J65" s="5" t="s">
        <v>55</v>
      </c>
      <c r="K65" s="5">
        <f>VLOOKUP(J65,'Team Hub'!$B$1:$F$65,4,false)</f>
        <v>360</v>
      </c>
      <c r="L65" s="4" t="str">
        <f>VLOOKUP(J65,'Team Hub'!$B$1:$F$65,5,false)</f>
        <v/>
      </c>
      <c r="M65" s="5" t="s">
        <v>97</v>
      </c>
      <c r="N65" s="5">
        <f>VLOOKUP(M65,'Team Hub'!$B$1:$F$65,4,false)</f>
        <v>260</v>
      </c>
      <c r="O65" s="5" t="str">
        <f>VLOOKUP(M65,'Team Hub'!$B$1:$F$65,5,false)</f>
        <v/>
      </c>
      <c r="P65" s="5" t="s">
        <v>132</v>
      </c>
      <c r="Q65" s="5">
        <f>VLOOKUP(P65,'Team Hub'!$B$1:$F$65,4,false)</f>
        <v>0</v>
      </c>
      <c r="R65" s="5" t="str">
        <f>VLOOKUP(P65,'Team Hub'!$B$1:$F$65,5,false)</f>
        <v/>
      </c>
      <c r="S65" s="5" t="s">
        <v>92</v>
      </c>
      <c r="T65" s="5">
        <f>VLOOKUP(S65,'Team Hub'!$B$1:$F$65,4,false)</f>
        <v>150</v>
      </c>
      <c r="U65" s="5" t="str">
        <f>VLOOKUP(S65,'Team Hub'!$B$1:$F$65,5,false)</f>
        <v/>
      </c>
      <c r="V65" s="5" t="s">
        <v>75</v>
      </c>
      <c r="W65" s="5">
        <f>VLOOKUP(V65,'Team Hub'!$B$1:$F$65,4,false)</f>
        <v>0</v>
      </c>
      <c r="X65" s="5" t="str">
        <f>VLOOKUP(V65,'Team Hub'!$B$1:$F$65,5,false)</f>
        <v/>
      </c>
      <c r="Y65" s="5" t="s">
        <v>60</v>
      </c>
      <c r="Z65" s="5">
        <f>VLOOKUP(Y65,'Team Hub'!$B$1:$F$65,4,false)</f>
        <v>170</v>
      </c>
      <c r="AA65" s="4" t="str">
        <f>VLOOKUP(Y65,'Team Hub'!$B$1:$F$65,5,false)</f>
        <v/>
      </c>
      <c r="AB65" s="5" t="s">
        <v>114</v>
      </c>
      <c r="AC65" s="5">
        <f>VLOOKUP(AB65,'Team Hub'!$B$1:$F$65,4,false)</f>
        <v>0</v>
      </c>
      <c r="AD65" s="4" t="str">
        <f>VLOOKUP(AB65,'Team Hub'!$B$1:$F$65,5,false)</f>
        <v/>
      </c>
      <c r="AE65" s="5" t="s">
        <v>62</v>
      </c>
      <c r="AF65" s="5">
        <f>VLOOKUP(AE65,'Team Hub'!$B$1:$F$65,4,false)</f>
        <v>380</v>
      </c>
      <c r="AG65" s="4" t="str">
        <f>VLOOKUP(AE65,'Team Hub'!$B$1:$F$65,5,false)</f>
        <v/>
      </c>
      <c r="AH65" s="5" t="s">
        <v>98</v>
      </c>
      <c r="AI65" s="5">
        <f>VLOOKUP(AH65,'Team Hub'!$B$1:$F$65,4,false)</f>
        <v>0</v>
      </c>
      <c r="AJ65" s="4" t="str">
        <f>VLOOKUP(AH65,'Team Hub'!$B$1:$F$65,5,false)</f>
        <v/>
      </c>
      <c r="AK65" s="5" t="s">
        <v>64</v>
      </c>
      <c r="AL65" s="5">
        <f>VLOOKUP(AK65,'Team Hub'!$B$1:$F$65,4,false)</f>
        <v>210</v>
      </c>
      <c r="AM65" s="4" t="str">
        <f>VLOOKUP(AK65,'Team Hub'!$B$1:$F$65,5,false)</f>
        <v/>
      </c>
      <c r="AN65" s="5" t="s">
        <v>88</v>
      </c>
      <c r="AO65" s="5">
        <f>VLOOKUP(AN65,'Team Hub'!$B$1:$F$65,4,false)</f>
        <v>0</v>
      </c>
      <c r="AP65" s="4" t="str">
        <f>VLOOKUP(AN65,'Team Hub'!$B$1:$F$65,5,false)</f>
        <v/>
      </c>
      <c r="AQ65" s="5" t="s">
        <v>66</v>
      </c>
      <c r="AR65" s="5">
        <f>VLOOKUP(AQ65,'Team Hub'!$B$1:$F$65,4,false)</f>
        <v>0</v>
      </c>
      <c r="AS65" s="4" t="str">
        <f>VLOOKUP(AQ65,'Team Hub'!$B$1:$F$65,5,false)</f>
        <v/>
      </c>
      <c r="AT65" s="5" t="s">
        <v>67</v>
      </c>
      <c r="AU65" s="5">
        <f>VLOOKUP(AT65,'Team Hub'!$B$1:$F$65,4,false)</f>
        <v>0</v>
      </c>
      <c r="AV65" s="4" t="str">
        <f>VLOOKUP(AT65,'Team Hub'!$B$1:$F$65,5,false)</f>
        <v/>
      </c>
      <c r="AW65" s="5" t="s">
        <v>68</v>
      </c>
      <c r="AX65" s="5">
        <f>VLOOKUP(AW65,'Team Hub'!$B$1:$F$65,4,false)</f>
        <v>0</v>
      </c>
      <c r="AY65" s="4" t="str">
        <f>VLOOKUP(AW65,'Team Hub'!$B$1:$F$65,5,false)</f>
        <v/>
      </c>
      <c r="AZ65" s="4" t="s">
        <v>69</v>
      </c>
    </row>
    <row r="66" ht="22.5" customHeight="1">
      <c r="A66" s="4" t="s">
        <v>180</v>
      </c>
      <c r="B66" s="2">
        <f t="shared" ref="B66:C66" si="65">sum(E66+H66+K66+N66+Q66+T66+W66+Z66+AC66+AF66+AI66+AL66+AO66+AR66+AU66+AX66)</f>
        <v>2260</v>
      </c>
      <c r="C66" s="2">
        <f t="shared" si="65"/>
        <v>1</v>
      </c>
      <c r="D66" s="4" t="s">
        <v>71</v>
      </c>
      <c r="E66" s="4">
        <f>VLOOKUP(D66,'Team Hub'!$B$1:$F$65,4,false)</f>
        <v>600</v>
      </c>
      <c r="F66" s="4">
        <f>VLOOKUP(D66,'Team Hub'!$B$1:$F$65,5,false)</f>
        <v>1</v>
      </c>
      <c r="G66" s="5" t="s">
        <v>81</v>
      </c>
      <c r="H66" s="5">
        <f>VLOOKUP(G66,'Team Hub'!$B$1:$F$65,4,false)</f>
        <v>330</v>
      </c>
      <c r="I66" s="4" t="str">
        <f>VLOOKUP(G66,'Team Hub'!$B$1:$F$65,5,false)</f>
        <v/>
      </c>
      <c r="J66" s="5" t="s">
        <v>55</v>
      </c>
      <c r="K66" s="5">
        <f>VLOOKUP(J66,'Team Hub'!$B$1:$F$65,4,false)</f>
        <v>360</v>
      </c>
      <c r="L66" s="4" t="str">
        <f>VLOOKUP(J66,'Team Hub'!$B$1:$F$65,5,false)</f>
        <v/>
      </c>
      <c r="M66" s="5" t="s">
        <v>56</v>
      </c>
      <c r="N66" s="5">
        <f>VLOOKUP(M66,'Team Hub'!$B$1:$F$65,4,false)</f>
        <v>260</v>
      </c>
      <c r="O66" s="5" t="str">
        <f>VLOOKUP(M66,'Team Hub'!$B$1:$F$65,5,false)</f>
        <v/>
      </c>
      <c r="P66" s="5" t="s">
        <v>132</v>
      </c>
      <c r="Q66" s="5">
        <f>VLOOKUP(P66,'Team Hub'!$B$1:$F$65,4,false)</f>
        <v>0</v>
      </c>
      <c r="R66" s="5" t="str">
        <f>VLOOKUP(P66,'Team Hub'!$B$1:$F$65,5,false)</f>
        <v/>
      </c>
      <c r="S66" s="5" t="s">
        <v>92</v>
      </c>
      <c r="T66" s="5">
        <f>VLOOKUP(S66,'Team Hub'!$B$1:$F$65,4,false)</f>
        <v>150</v>
      </c>
      <c r="U66" s="5" t="str">
        <f>VLOOKUP(S66,'Team Hub'!$B$1:$F$65,5,false)</f>
        <v/>
      </c>
      <c r="V66" s="5" t="s">
        <v>83</v>
      </c>
      <c r="W66" s="5">
        <f>VLOOKUP(V66,'Team Hub'!$B$1:$F$65,4,false)</f>
        <v>0</v>
      </c>
      <c r="X66" s="5" t="str">
        <f>VLOOKUP(V66,'Team Hub'!$B$1:$F$65,5,false)</f>
        <v/>
      </c>
      <c r="Y66" s="5" t="s">
        <v>76</v>
      </c>
      <c r="Z66" s="5">
        <f>VLOOKUP(Y66,'Team Hub'!$B$1:$F$65,4,false)</f>
        <v>170</v>
      </c>
      <c r="AA66" s="4" t="str">
        <f>VLOOKUP(Y66,'Team Hub'!$B$1:$F$65,5,false)</f>
        <v/>
      </c>
      <c r="AB66" s="5" t="s">
        <v>61</v>
      </c>
      <c r="AC66" s="5">
        <f>VLOOKUP(AB66,'Team Hub'!$B$1:$F$65,4,false)</f>
        <v>180</v>
      </c>
      <c r="AD66" s="4" t="str">
        <f>VLOOKUP(AB66,'Team Hub'!$B$1:$F$65,5,false)</f>
        <v/>
      </c>
      <c r="AE66" s="5" t="s">
        <v>123</v>
      </c>
      <c r="AF66" s="5">
        <f>VLOOKUP(AE66,'Team Hub'!$B$1:$F$65,4,false)</f>
        <v>0</v>
      </c>
      <c r="AG66" s="4" t="str">
        <f>VLOOKUP(AE66,'Team Hub'!$B$1:$F$65,5,false)</f>
        <v/>
      </c>
      <c r="AH66" s="5" t="s">
        <v>98</v>
      </c>
      <c r="AI66" s="5">
        <f>VLOOKUP(AH66,'Team Hub'!$B$1:$F$65,4,false)</f>
        <v>0</v>
      </c>
      <c r="AJ66" s="4" t="str">
        <f>VLOOKUP(AH66,'Team Hub'!$B$1:$F$65,5,false)</f>
        <v/>
      </c>
      <c r="AK66" s="5" t="s">
        <v>64</v>
      </c>
      <c r="AL66" s="5">
        <f>VLOOKUP(AK66,'Team Hub'!$B$1:$F$65,4,false)</f>
        <v>210</v>
      </c>
      <c r="AM66" s="4" t="str">
        <f>VLOOKUP(AK66,'Team Hub'!$B$1:$F$65,5,false)</f>
        <v/>
      </c>
      <c r="AN66" s="5" t="s">
        <v>88</v>
      </c>
      <c r="AO66" s="5">
        <f>VLOOKUP(AN66,'Team Hub'!$B$1:$F$65,4,false)</f>
        <v>0</v>
      </c>
      <c r="AP66" s="4" t="str">
        <f>VLOOKUP(AN66,'Team Hub'!$B$1:$F$65,5,false)</f>
        <v/>
      </c>
      <c r="AQ66" s="5" t="s">
        <v>78</v>
      </c>
      <c r="AR66" s="5">
        <f>VLOOKUP(AQ66,'Team Hub'!$B$1:$F$65,4,false)</f>
        <v>0</v>
      </c>
      <c r="AS66" s="4" t="str">
        <f>VLOOKUP(AQ66,'Team Hub'!$B$1:$F$65,5,false)</f>
        <v/>
      </c>
      <c r="AT66" s="5" t="s">
        <v>129</v>
      </c>
      <c r="AU66" s="5">
        <f>VLOOKUP(AT66,'Team Hub'!$B$1:$F$65,4,false)</f>
        <v>0</v>
      </c>
      <c r="AV66" s="4" t="str">
        <f>VLOOKUP(AT66,'Team Hub'!$B$1:$F$65,5,false)</f>
        <v/>
      </c>
      <c r="AW66" s="5" t="s">
        <v>68</v>
      </c>
      <c r="AX66" s="5">
        <f>VLOOKUP(AW66,'Team Hub'!$B$1:$F$65,4,false)</f>
        <v>0</v>
      </c>
      <c r="AY66" s="4" t="str">
        <f>VLOOKUP(AW66,'Team Hub'!$B$1:$F$65,5,false)</f>
        <v/>
      </c>
      <c r="AZ66" s="4" t="s">
        <v>69</v>
      </c>
    </row>
    <row r="67" ht="22.5" customHeight="1">
      <c r="A67" s="4" t="s">
        <v>181</v>
      </c>
      <c r="B67" s="2">
        <f t="shared" ref="B67:C67" si="66">sum(E67+H67+K67+N67+Q67+T67+W67+Z67+AC67+AF67+AI67+AL67+AO67+AR67+AU67+AX67)</f>
        <v>2250</v>
      </c>
      <c r="C67" s="2">
        <f t="shared" si="66"/>
        <v>0</v>
      </c>
      <c r="D67" s="5" t="s">
        <v>53</v>
      </c>
      <c r="E67" s="5">
        <f>VLOOKUP(D67,'Team Hub'!$B$1:$F$65,4,false)</f>
        <v>400</v>
      </c>
      <c r="F67" s="4" t="str">
        <f>VLOOKUP(D67,'Team Hub'!$B$1:$F$65,5,false)</f>
        <v/>
      </c>
      <c r="G67" s="5" t="s">
        <v>54</v>
      </c>
      <c r="H67" s="5">
        <f>VLOOKUP(G67,'Team Hub'!$B$1:$F$65,4,false)</f>
        <v>330</v>
      </c>
      <c r="I67" s="4" t="str">
        <f>VLOOKUP(G67,'Team Hub'!$B$1:$F$65,5,false)</f>
        <v/>
      </c>
      <c r="J67" s="5" t="s">
        <v>55</v>
      </c>
      <c r="K67" s="5">
        <f>VLOOKUP(J67,'Team Hub'!$B$1:$F$65,4,false)</f>
        <v>360</v>
      </c>
      <c r="L67" s="4" t="str">
        <f>VLOOKUP(J67,'Team Hub'!$B$1:$F$65,5,false)</f>
        <v/>
      </c>
      <c r="M67" s="5" t="s">
        <v>97</v>
      </c>
      <c r="N67" s="5">
        <f>VLOOKUP(M67,'Team Hub'!$B$1:$F$65,4,false)</f>
        <v>260</v>
      </c>
      <c r="O67" s="5" t="str">
        <f>VLOOKUP(M67,'Team Hub'!$B$1:$F$65,5,false)</f>
        <v/>
      </c>
      <c r="P67" s="5" t="s">
        <v>132</v>
      </c>
      <c r="Q67" s="5">
        <f>VLOOKUP(P67,'Team Hub'!$B$1:$F$65,4,false)</f>
        <v>0</v>
      </c>
      <c r="R67" s="5" t="str">
        <f>VLOOKUP(P67,'Team Hub'!$B$1:$F$65,5,false)</f>
        <v/>
      </c>
      <c r="S67" s="5" t="s">
        <v>92</v>
      </c>
      <c r="T67" s="5">
        <f>VLOOKUP(S67,'Team Hub'!$B$1:$F$65,4,false)</f>
        <v>150</v>
      </c>
      <c r="U67" s="5" t="str">
        <f>VLOOKUP(S67,'Team Hub'!$B$1:$F$65,5,false)</f>
        <v/>
      </c>
      <c r="V67" s="5" t="s">
        <v>83</v>
      </c>
      <c r="W67" s="5">
        <f>VLOOKUP(V67,'Team Hub'!$B$1:$F$65,4,false)</f>
        <v>0</v>
      </c>
      <c r="X67" s="5" t="str">
        <f>VLOOKUP(V67,'Team Hub'!$B$1:$F$65,5,false)</f>
        <v/>
      </c>
      <c r="Y67" s="5" t="s">
        <v>76</v>
      </c>
      <c r="Z67" s="5">
        <f>VLOOKUP(Y67,'Team Hub'!$B$1:$F$65,4,false)</f>
        <v>170</v>
      </c>
      <c r="AA67" s="4" t="str">
        <f>VLOOKUP(Y67,'Team Hub'!$B$1:$F$65,5,false)</f>
        <v/>
      </c>
      <c r="AB67" s="5" t="s">
        <v>61</v>
      </c>
      <c r="AC67" s="5">
        <f>VLOOKUP(AB67,'Team Hub'!$B$1:$F$65,4,false)</f>
        <v>180</v>
      </c>
      <c r="AD67" s="4" t="str">
        <f>VLOOKUP(AB67,'Team Hub'!$B$1:$F$65,5,false)</f>
        <v/>
      </c>
      <c r="AE67" s="5" t="s">
        <v>85</v>
      </c>
      <c r="AF67" s="5">
        <f>VLOOKUP(AE67,'Team Hub'!$B$1:$F$65,4,false)</f>
        <v>190</v>
      </c>
      <c r="AG67" s="4" t="str">
        <f>VLOOKUP(AE67,'Team Hub'!$B$1:$F$65,5,false)</f>
        <v/>
      </c>
      <c r="AH67" s="5" t="s">
        <v>98</v>
      </c>
      <c r="AI67" s="5">
        <f>VLOOKUP(AH67,'Team Hub'!$B$1:$F$65,4,false)</f>
        <v>0</v>
      </c>
      <c r="AJ67" s="4" t="str">
        <f>VLOOKUP(AH67,'Team Hub'!$B$1:$F$65,5,false)</f>
        <v/>
      </c>
      <c r="AK67" s="5" t="s">
        <v>64</v>
      </c>
      <c r="AL67" s="5">
        <f>VLOOKUP(AK67,'Team Hub'!$B$1:$F$65,4,false)</f>
        <v>210</v>
      </c>
      <c r="AM67" s="4" t="str">
        <f>VLOOKUP(AK67,'Team Hub'!$B$1:$F$65,5,false)</f>
        <v/>
      </c>
      <c r="AN67" s="5" t="s">
        <v>88</v>
      </c>
      <c r="AO67" s="5">
        <f>VLOOKUP(AN67,'Team Hub'!$B$1:$F$65,4,false)</f>
        <v>0</v>
      </c>
      <c r="AP67" s="4" t="str">
        <f>VLOOKUP(AN67,'Team Hub'!$B$1:$F$65,5,false)</f>
        <v/>
      </c>
      <c r="AQ67" s="5" t="s">
        <v>66</v>
      </c>
      <c r="AR67" s="5">
        <f>VLOOKUP(AQ67,'Team Hub'!$B$1:$F$65,4,false)</f>
        <v>0</v>
      </c>
      <c r="AS67" s="4" t="str">
        <f>VLOOKUP(AQ67,'Team Hub'!$B$1:$F$65,5,false)</f>
        <v/>
      </c>
      <c r="AT67" s="5" t="s">
        <v>79</v>
      </c>
      <c r="AU67" s="5">
        <f>VLOOKUP(AT67,'Team Hub'!$B$1:$F$65,4,false)</f>
        <v>0</v>
      </c>
      <c r="AV67" s="4" t="str">
        <f>VLOOKUP(AT67,'Team Hub'!$B$1:$F$65,5,false)</f>
        <v/>
      </c>
      <c r="AW67" s="5" t="s">
        <v>68</v>
      </c>
      <c r="AX67" s="5">
        <f>VLOOKUP(AW67,'Team Hub'!$B$1:$F$65,4,false)</f>
        <v>0</v>
      </c>
      <c r="AY67" s="4" t="str">
        <f>VLOOKUP(AW67,'Team Hub'!$B$1:$F$65,5,false)</f>
        <v/>
      </c>
      <c r="AZ67" s="4" t="s">
        <v>69</v>
      </c>
    </row>
    <row r="68" ht="22.5" customHeight="1">
      <c r="A68" s="4" t="s">
        <v>182</v>
      </c>
      <c r="B68" s="2">
        <f t="shared" ref="B68:C68" si="67">sum(E68+H68+K68+N68+Q68+T68+W68+Z68+AC68+AF68+AI68+AL68+AO68+AR68+AU68+AX68)</f>
        <v>2230</v>
      </c>
      <c r="C68" s="2">
        <f t="shared" si="67"/>
        <v>0</v>
      </c>
      <c r="D68" s="5" t="s">
        <v>53</v>
      </c>
      <c r="E68" s="5">
        <f>VLOOKUP(D68,'Team Hub'!$B$1:$F$65,4,false)</f>
        <v>400</v>
      </c>
      <c r="F68" s="4" t="str">
        <f>VLOOKUP(D68,'Team Hub'!$B$1:$F$65,5,false)</f>
        <v/>
      </c>
      <c r="G68" s="5" t="s">
        <v>81</v>
      </c>
      <c r="H68" s="5">
        <f>VLOOKUP(G68,'Team Hub'!$B$1:$F$65,4,false)</f>
        <v>330</v>
      </c>
      <c r="I68" s="4" t="str">
        <f>VLOOKUP(G68,'Team Hub'!$B$1:$F$65,5,false)</f>
        <v/>
      </c>
      <c r="J68" s="5" t="s">
        <v>73</v>
      </c>
      <c r="K68" s="5">
        <f>VLOOKUP(J68,'Team Hub'!$B$1:$F$65,4,false)</f>
        <v>240</v>
      </c>
      <c r="L68" s="4" t="str">
        <f>VLOOKUP(J68,'Team Hub'!$B$1:$F$65,5,false)</f>
        <v/>
      </c>
      <c r="M68" s="5" t="s">
        <v>56</v>
      </c>
      <c r="N68" s="5">
        <f>VLOOKUP(M68,'Team Hub'!$B$1:$F$65,4,false)</f>
        <v>260</v>
      </c>
      <c r="O68" s="5" t="str">
        <f>VLOOKUP(M68,'Team Hub'!$B$1:$F$65,5,false)</f>
        <v/>
      </c>
      <c r="P68" s="5" t="s">
        <v>102</v>
      </c>
      <c r="Q68" s="5">
        <f>VLOOKUP(P68,'Team Hub'!$B$1:$F$65,4,false)</f>
        <v>140</v>
      </c>
      <c r="R68" s="5" t="str">
        <f>VLOOKUP(P68,'Team Hub'!$B$1:$F$65,5,false)</f>
        <v/>
      </c>
      <c r="S68" s="5" t="s">
        <v>58</v>
      </c>
      <c r="T68" s="5">
        <f>VLOOKUP(S68,'Team Hub'!$B$1:$F$65,4,false)</f>
        <v>300</v>
      </c>
      <c r="U68" s="5" t="str">
        <f>VLOOKUP(S68,'Team Hub'!$B$1:$F$65,5,false)</f>
        <v/>
      </c>
      <c r="V68" s="5" t="s">
        <v>83</v>
      </c>
      <c r="W68" s="5">
        <f>VLOOKUP(V68,'Team Hub'!$B$1:$F$65,4,false)</f>
        <v>0</v>
      </c>
      <c r="X68" s="5" t="str">
        <f>VLOOKUP(V68,'Team Hub'!$B$1:$F$65,5,false)</f>
        <v/>
      </c>
      <c r="Y68" s="5" t="s">
        <v>126</v>
      </c>
      <c r="Z68" s="5">
        <f>VLOOKUP(Y68,'Team Hub'!$B$1:$F$65,4,false)</f>
        <v>0</v>
      </c>
      <c r="AA68" s="4" t="str">
        <f>VLOOKUP(Y68,'Team Hub'!$B$1:$F$65,5,false)</f>
        <v/>
      </c>
      <c r="AB68" s="5" t="s">
        <v>94</v>
      </c>
      <c r="AC68" s="5">
        <f>VLOOKUP(AB68,'Team Hub'!$B$1:$F$65,4,false)</f>
        <v>180</v>
      </c>
      <c r="AD68" s="4" t="str">
        <f>VLOOKUP(AB68,'Team Hub'!$B$1:$F$65,5,false)</f>
        <v/>
      </c>
      <c r="AE68" s="5" t="s">
        <v>62</v>
      </c>
      <c r="AF68" s="5">
        <f>VLOOKUP(AE68,'Team Hub'!$B$1:$F$65,4,false)</f>
        <v>380</v>
      </c>
      <c r="AG68" s="4" t="str">
        <f>VLOOKUP(AE68,'Team Hub'!$B$1:$F$65,5,false)</f>
        <v/>
      </c>
      <c r="AH68" s="5" t="s">
        <v>63</v>
      </c>
      <c r="AI68" s="5">
        <f>VLOOKUP(AH68,'Team Hub'!$B$1:$F$65,4,false)</f>
        <v>0</v>
      </c>
      <c r="AJ68" s="4" t="str">
        <f>VLOOKUP(AH68,'Team Hub'!$B$1:$F$65,5,false)</f>
        <v/>
      </c>
      <c r="AK68" s="5" t="s">
        <v>107</v>
      </c>
      <c r="AL68" s="5">
        <f>VLOOKUP(AK68,'Team Hub'!$B$1:$F$65,4,false)</f>
        <v>0</v>
      </c>
      <c r="AM68" s="4" t="str">
        <f>VLOOKUP(AK68,'Team Hub'!$B$1:$F$65,5,false)</f>
        <v/>
      </c>
      <c r="AN68" s="5" t="s">
        <v>110</v>
      </c>
      <c r="AO68" s="5">
        <f>VLOOKUP(AN68,'Team Hub'!$B$1:$F$65,4,false)</f>
        <v>0</v>
      </c>
      <c r="AP68" s="4" t="str">
        <f>VLOOKUP(AN68,'Team Hub'!$B$1:$F$65,5,false)</f>
        <v/>
      </c>
      <c r="AQ68" s="5" t="s">
        <v>117</v>
      </c>
      <c r="AR68" s="5">
        <f>VLOOKUP(AQ68,'Team Hub'!$B$1:$F$65,4,false)</f>
        <v>0</v>
      </c>
      <c r="AS68" s="4" t="str">
        <f>VLOOKUP(AQ68,'Team Hub'!$B$1:$F$65,5,false)</f>
        <v/>
      </c>
      <c r="AT68" s="5" t="s">
        <v>79</v>
      </c>
      <c r="AU68" s="5">
        <f>VLOOKUP(AT68,'Team Hub'!$B$1:$F$65,4,false)</f>
        <v>0</v>
      </c>
      <c r="AV68" s="4" t="str">
        <f>VLOOKUP(AT68,'Team Hub'!$B$1:$F$65,5,false)</f>
        <v/>
      </c>
      <c r="AW68" s="5" t="s">
        <v>95</v>
      </c>
      <c r="AX68" s="5">
        <f>VLOOKUP(AW68,'Team Hub'!$B$1:$F$65,4,false)</f>
        <v>0</v>
      </c>
      <c r="AY68" s="4" t="str">
        <f>VLOOKUP(AW68,'Team Hub'!$B$1:$F$65,5,false)</f>
        <v/>
      </c>
      <c r="AZ68" s="4" t="s">
        <v>69</v>
      </c>
    </row>
    <row r="69" ht="22.5" customHeight="1">
      <c r="A69" s="4" t="s">
        <v>183</v>
      </c>
      <c r="B69" s="2">
        <f t="shared" ref="B69:C69" si="68">sum(E69+H69+K69+N69+Q69+T69+W69+Z69+AC69+AF69+AI69+AL69+AO69+AR69+AU69+AX69)</f>
        <v>2200</v>
      </c>
      <c r="C69" s="2">
        <f t="shared" si="68"/>
        <v>0</v>
      </c>
      <c r="D69" s="5" t="s">
        <v>53</v>
      </c>
      <c r="E69" s="5">
        <f>VLOOKUP(D69,'Team Hub'!$B$1:$F$65,4,false)</f>
        <v>400</v>
      </c>
      <c r="F69" s="4" t="str">
        <f>VLOOKUP(D69,'Team Hub'!$B$1:$F$65,5,false)</f>
        <v/>
      </c>
      <c r="G69" s="5" t="s">
        <v>81</v>
      </c>
      <c r="H69" s="5">
        <f>VLOOKUP(G69,'Team Hub'!$B$1:$F$65,4,false)</f>
        <v>330</v>
      </c>
      <c r="I69" s="4" t="str">
        <f>VLOOKUP(G69,'Team Hub'!$B$1:$F$65,5,false)</f>
        <v/>
      </c>
      <c r="J69" s="5" t="s">
        <v>73</v>
      </c>
      <c r="K69" s="5">
        <f>VLOOKUP(J69,'Team Hub'!$B$1:$F$65,4,false)</f>
        <v>240</v>
      </c>
      <c r="L69" s="4" t="str">
        <f>VLOOKUP(J69,'Team Hub'!$B$1:$F$65,5,false)</f>
        <v/>
      </c>
      <c r="M69" s="5" t="s">
        <v>142</v>
      </c>
      <c r="N69" s="5">
        <f>VLOOKUP(M69,'Team Hub'!$B$1:$F$65,4,false)</f>
        <v>130</v>
      </c>
      <c r="O69" s="5" t="str">
        <f>VLOOKUP(M69,'Team Hub'!$B$1:$F$65,5,false)</f>
        <v/>
      </c>
      <c r="P69" s="5" t="s">
        <v>132</v>
      </c>
      <c r="Q69" s="5">
        <f>VLOOKUP(P69,'Team Hub'!$B$1:$F$65,4,false)</f>
        <v>0</v>
      </c>
      <c r="R69" s="5" t="str">
        <f>VLOOKUP(P69,'Team Hub'!$B$1:$F$65,5,false)</f>
        <v/>
      </c>
      <c r="S69" s="5" t="s">
        <v>113</v>
      </c>
      <c r="T69" s="5">
        <f>VLOOKUP(S69,'Team Hub'!$B$1:$F$65,4,false)</f>
        <v>0</v>
      </c>
      <c r="U69" s="5" t="str">
        <f>VLOOKUP(S69,'Team Hub'!$B$1:$F$65,5,false)</f>
        <v/>
      </c>
      <c r="V69" s="5" t="s">
        <v>59</v>
      </c>
      <c r="W69" s="5">
        <f>VLOOKUP(V69,'Team Hub'!$B$1:$F$65,4,false)</f>
        <v>160</v>
      </c>
      <c r="X69" s="5" t="str">
        <f>VLOOKUP(V69,'Team Hub'!$B$1:$F$65,5,false)</f>
        <v/>
      </c>
      <c r="Y69" s="5" t="s">
        <v>76</v>
      </c>
      <c r="Z69" s="5">
        <f>VLOOKUP(Y69,'Team Hub'!$B$1:$F$65,4,false)</f>
        <v>170</v>
      </c>
      <c r="AA69" s="4" t="str">
        <f>VLOOKUP(Y69,'Team Hub'!$B$1:$F$65,5,false)</f>
        <v/>
      </c>
      <c r="AB69" s="5" t="s">
        <v>61</v>
      </c>
      <c r="AC69" s="5">
        <f>VLOOKUP(AB69,'Team Hub'!$B$1:$F$65,4,false)</f>
        <v>180</v>
      </c>
      <c r="AD69" s="4" t="str">
        <f>VLOOKUP(AB69,'Team Hub'!$B$1:$F$65,5,false)</f>
        <v/>
      </c>
      <c r="AE69" s="5" t="s">
        <v>62</v>
      </c>
      <c r="AF69" s="5">
        <f>VLOOKUP(AE69,'Team Hub'!$B$1:$F$65,4,false)</f>
        <v>380</v>
      </c>
      <c r="AG69" s="4" t="str">
        <f>VLOOKUP(AE69,'Team Hub'!$B$1:$F$65,5,false)</f>
        <v/>
      </c>
      <c r="AH69" s="5" t="s">
        <v>116</v>
      </c>
      <c r="AI69" s="5">
        <f>VLOOKUP(AH69,'Team Hub'!$B$1:$F$65,4,false)</f>
        <v>0</v>
      </c>
      <c r="AJ69" s="4" t="str">
        <f>VLOOKUP(AH69,'Team Hub'!$B$1:$F$65,5,false)</f>
        <v/>
      </c>
      <c r="AK69" s="5" t="s">
        <v>64</v>
      </c>
      <c r="AL69" s="5">
        <f>VLOOKUP(AK69,'Team Hub'!$B$1:$F$65,4,false)</f>
        <v>210</v>
      </c>
      <c r="AM69" s="4" t="str">
        <f>VLOOKUP(AK69,'Team Hub'!$B$1:$F$65,5,false)</f>
        <v/>
      </c>
      <c r="AN69" s="5" t="s">
        <v>77</v>
      </c>
      <c r="AO69" s="5">
        <f>VLOOKUP(AN69,'Team Hub'!$B$1:$F$65,4,false)</f>
        <v>0</v>
      </c>
      <c r="AP69" s="4" t="str">
        <f>VLOOKUP(AN69,'Team Hub'!$B$1:$F$65,5,false)</f>
        <v/>
      </c>
      <c r="AQ69" s="5" t="s">
        <v>117</v>
      </c>
      <c r="AR69" s="5">
        <f>VLOOKUP(AQ69,'Team Hub'!$B$1:$F$65,4,false)</f>
        <v>0</v>
      </c>
      <c r="AS69" s="4" t="str">
        <f>VLOOKUP(AQ69,'Team Hub'!$B$1:$F$65,5,false)</f>
        <v/>
      </c>
      <c r="AT69" s="5" t="s">
        <v>67</v>
      </c>
      <c r="AU69" s="5">
        <f>VLOOKUP(AT69,'Team Hub'!$B$1:$F$65,4,false)</f>
        <v>0</v>
      </c>
      <c r="AV69" s="4" t="str">
        <f>VLOOKUP(AT69,'Team Hub'!$B$1:$F$65,5,false)</f>
        <v/>
      </c>
      <c r="AW69" s="5" t="s">
        <v>95</v>
      </c>
      <c r="AX69" s="5">
        <f>VLOOKUP(AW69,'Team Hub'!$B$1:$F$65,4,false)</f>
        <v>0</v>
      </c>
      <c r="AY69" s="4" t="str">
        <f>VLOOKUP(AW69,'Team Hub'!$B$1:$F$65,5,false)</f>
        <v/>
      </c>
      <c r="AZ69" s="4" t="s">
        <v>69</v>
      </c>
    </row>
    <row r="70" ht="22.5" customHeight="1">
      <c r="A70" s="4" t="s">
        <v>184</v>
      </c>
      <c r="B70" s="2">
        <f t="shared" ref="B70:C70" si="69">sum(E70+H70+K70+N70+Q70+T70+W70+Z70+AC70+AF70+AI70+AL70+AO70+AR70+AU70+AX70)</f>
        <v>2190</v>
      </c>
      <c r="C70" s="2">
        <f t="shared" si="69"/>
        <v>0</v>
      </c>
      <c r="D70" s="5" t="s">
        <v>125</v>
      </c>
      <c r="E70" s="5">
        <f>VLOOKUP(D70,'Team Hub'!$B$1:$F$65,4,false)</f>
        <v>500</v>
      </c>
      <c r="F70" s="4" t="str">
        <f>VLOOKUP(D70,'Team Hub'!$B$1:$F$65,5,false)</f>
        <v/>
      </c>
      <c r="G70" s="5" t="s">
        <v>72</v>
      </c>
      <c r="H70" s="5">
        <f>VLOOKUP(G70,'Team Hub'!$B$1:$F$65,4,false)</f>
        <v>330</v>
      </c>
      <c r="I70" s="5" t="str">
        <f>VLOOKUP(G70,'Team Hub'!$B$1:$F$65,5,false)</f>
        <v/>
      </c>
      <c r="J70" s="5" t="s">
        <v>55</v>
      </c>
      <c r="K70" s="5">
        <f>VLOOKUP(J70,'Team Hub'!$B$1:$F$65,4,false)</f>
        <v>360</v>
      </c>
      <c r="L70" s="4" t="str">
        <f>VLOOKUP(J70,'Team Hub'!$B$1:$F$65,5,false)</f>
        <v/>
      </c>
      <c r="M70" s="5" t="s">
        <v>97</v>
      </c>
      <c r="N70" s="5">
        <f>VLOOKUP(M70,'Team Hub'!$B$1:$F$65,4,false)</f>
        <v>260</v>
      </c>
      <c r="O70" s="5" t="str">
        <f>VLOOKUP(M70,'Team Hub'!$B$1:$F$65,5,false)</f>
        <v/>
      </c>
      <c r="P70" s="5" t="s">
        <v>132</v>
      </c>
      <c r="Q70" s="5">
        <f>VLOOKUP(P70,'Team Hub'!$B$1:$F$65,4,false)</f>
        <v>0</v>
      </c>
      <c r="R70" s="5" t="str">
        <f>VLOOKUP(P70,'Team Hub'!$B$1:$F$65,5,false)</f>
        <v/>
      </c>
      <c r="S70" s="5" t="s">
        <v>113</v>
      </c>
      <c r="T70" s="5">
        <f>VLOOKUP(S70,'Team Hub'!$B$1:$F$65,4,false)</f>
        <v>0</v>
      </c>
      <c r="U70" s="5" t="str">
        <f>VLOOKUP(S70,'Team Hub'!$B$1:$F$65,5,false)</f>
        <v/>
      </c>
      <c r="V70" s="5" t="s">
        <v>59</v>
      </c>
      <c r="W70" s="5">
        <f>VLOOKUP(V70,'Team Hub'!$B$1:$F$65,4,false)</f>
        <v>160</v>
      </c>
      <c r="X70" s="5" t="str">
        <f>VLOOKUP(V70,'Team Hub'!$B$1:$F$65,5,false)</f>
        <v/>
      </c>
      <c r="Y70" s="5" t="s">
        <v>126</v>
      </c>
      <c r="Z70" s="5">
        <f>VLOOKUP(Y70,'Team Hub'!$B$1:$F$65,4,false)</f>
        <v>0</v>
      </c>
      <c r="AA70" s="4" t="str">
        <f>VLOOKUP(Y70,'Team Hub'!$B$1:$F$65,5,false)</f>
        <v/>
      </c>
      <c r="AB70" s="5" t="s">
        <v>94</v>
      </c>
      <c r="AC70" s="5">
        <f>VLOOKUP(AB70,'Team Hub'!$B$1:$F$65,4,false)</f>
        <v>180</v>
      </c>
      <c r="AD70" s="4" t="str">
        <f>VLOOKUP(AB70,'Team Hub'!$B$1:$F$65,5,false)</f>
        <v/>
      </c>
      <c r="AE70" s="5" t="s">
        <v>85</v>
      </c>
      <c r="AF70" s="5">
        <f>VLOOKUP(AE70,'Team Hub'!$B$1:$F$65,4,false)</f>
        <v>190</v>
      </c>
      <c r="AG70" s="4" t="str">
        <f>VLOOKUP(AE70,'Team Hub'!$B$1:$F$65,5,false)</f>
        <v/>
      </c>
      <c r="AH70" s="5" t="s">
        <v>98</v>
      </c>
      <c r="AI70" s="5">
        <f>VLOOKUP(AH70,'Team Hub'!$B$1:$F$65,4,false)</f>
        <v>0</v>
      </c>
      <c r="AJ70" s="4" t="str">
        <f>VLOOKUP(AH70,'Team Hub'!$B$1:$F$65,5,false)</f>
        <v/>
      </c>
      <c r="AK70" s="5" t="s">
        <v>64</v>
      </c>
      <c r="AL70" s="5">
        <f>VLOOKUP(AK70,'Team Hub'!$B$1:$F$65,4,false)</f>
        <v>210</v>
      </c>
      <c r="AM70" s="4" t="str">
        <f>VLOOKUP(AK70,'Team Hub'!$B$1:$F$65,5,false)</f>
        <v/>
      </c>
      <c r="AN70" s="5" t="s">
        <v>77</v>
      </c>
      <c r="AO70" s="5">
        <f>VLOOKUP(AN70,'Team Hub'!$B$1:$F$65,4,false)</f>
        <v>0</v>
      </c>
      <c r="AP70" s="4" t="str">
        <f>VLOOKUP(AN70,'Team Hub'!$B$1:$F$65,5,false)</f>
        <v/>
      </c>
      <c r="AQ70" s="5" t="s">
        <v>89</v>
      </c>
      <c r="AR70" s="5">
        <f>VLOOKUP(AQ70,'Team Hub'!$B$1:$F$65,4,false)</f>
        <v>0</v>
      </c>
      <c r="AS70" s="4" t="str">
        <f>VLOOKUP(AQ70,'Team Hub'!$B$1:$F$65,5,false)</f>
        <v/>
      </c>
      <c r="AT70" s="5" t="s">
        <v>105</v>
      </c>
      <c r="AU70" s="5">
        <f>VLOOKUP(AT70,'Team Hub'!$B$1:$F$65,4,false)</f>
        <v>0</v>
      </c>
      <c r="AV70" s="5" t="str">
        <f>VLOOKUP(AT70,'Team Hub'!$B$1:$F$65,5,false)</f>
        <v/>
      </c>
      <c r="AW70" s="5" t="s">
        <v>95</v>
      </c>
      <c r="AX70" s="5">
        <f>VLOOKUP(AW70,'Team Hub'!$B$1:$F$65,4,false)</f>
        <v>0</v>
      </c>
      <c r="AY70" s="4" t="str">
        <f>VLOOKUP(AW70,'Team Hub'!$B$1:$F$65,5,false)</f>
        <v/>
      </c>
      <c r="AZ70" s="4" t="s">
        <v>69</v>
      </c>
    </row>
    <row r="71" ht="22.5" customHeight="1">
      <c r="A71" s="4" t="s">
        <v>185</v>
      </c>
      <c r="B71" s="2">
        <f t="shared" ref="B71:C71" si="70">sum(E71+H71+K71+N71+Q71+T71+W71+Z71+AC71+AF71+AI71+AL71+AO71+AR71+AU71+AX71)</f>
        <v>2180</v>
      </c>
      <c r="C71" s="2">
        <f t="shared" si="70"/>
        <v>0</v>
      </c>
      <c r="D71" s="5" t="s">
        <v>53</v>
      </c>
      <c r="E71" s="5">
        <f>VLOOKUP(D71,'Team Hub'!$B$1:$F$65,4,false)</f>
        <v>400</v>
      </c>
      <c r="F71" s="4" t="str">
        <f>VLOOKUP(D71,'Team Hub'!$B$1:$F$65,5,false)</f>
        <v/>
      </c>
      <c r="G71" s="5" t="s">
        <v>109</v>
      </c>
      <c r="H71" s="5">
        <f>VLOOKUP(G71,'Team Hub'!$B$1:$F$65,4,false)</f>
        <v>110</v>
      </c>
      <c r="I71" s="4" t="str">
        <f>VLOOKUP(G71,'Team Hub'!$B$1:$F$65,5,false)</f>
        <v/>
      </c>
      <c r="J71" s="5" t="s">
        <v>73</v>
      </c>
      <c r="K71" s="5">
        <f>VLOOKUP(J71,'Team Hub'!$B$1:$F$65,4,false)</f>
        <v>240</v>
      </c>
      <c r="L71" s="4" t="str">
        <f>VLOOKUP(J71,'Team Hub'!$B$1:$F$65,5,false)</f>
        <v/>
      </c>
      <c r="M71" s="5" t="s">
        <v>97</v>
      </c>
      <c r="N71" s="5">
        <f>VLOOKUP(M71,'Team Hub'!$B$1:$F$65,4,false)</f>
        <v>260</v>
      </c>
      <c r="O71" s="5" t="str">
        <f>VLOOKUP(M71,'Team Hub'!$B$1:$F$65,5,false)</f>
        <v/>
      </c>
      <c r="P71" s="5" t="s">
        <v>57</v>
      </c>
      <c r="Q71" s="5">
        <f>VLOOKUP(P71,'Team Hub'!$B$1:$F$65,4,false)</f>
        <v>280</v>
      </c>
      <c r="R71" s="5" t="str">
        <f>VLOOKUP(P71,'Team Hub'!$B$1:$F$65,5,false)</f>
        <v/>
      </c>
      <c r="S71" s="5" t="s">
        <v>92</v>
      </c>
      <c r="T71" s="5">
        <f>VLOOKUP(S71,'Team Hub'!$B$1:$F$65,4,false)</f>
        <v>150</v>
      </c>
      <c r="U71" s="5" t="str">
        <f>VLOOKUP(S71,'Team Hub'!$B$1:$F$65,5,false)</f>
        <v/>
      </c>
      <c r="V71" s="5" t="s">
        <v>93</v>
      </c>
      <c r="W71" s="5">
        <f>VLOOKUP(V71,'Team Hub'!$B$1:$F$65,4,false)</f>
        <v>160</v>
      </c>
      <c r="X71" s="5" t="str">
        <f>VLOOKUP(V71,'Team Hub'!$B$1:$F$65,5,false)</f>
        <v/>
      </c>
      <c r="Y71" s="5" t="s">
        <v>126</v>
      </c>
      <c r="Z71" s="5">
        <f>VLOOKUP(Y71,'Team Hub'!$B$1:$F$65,4,false)</f>
        <v>0</v>
      </c>
      <c r="AA71" s="4" t="str">
        <f>VLOOKUP(Y71,'Team Hub'!$B$1:$F$65,5,false)</f>
        <v/>
      </c>
      <c r="AB71" s="5" t="s">
        <v>94</v>
      </c>
      <c r="AC71" s="5">
        <f>VLOOKUP(AB71,'Team Hub'!$B$1:$F$65,4,false)</f>
        <v>180</v>
      </c>
      <c r="AD71" s="4" t="str">
        <f>VLOOKUP(AB71,'Team Hub'!$B$1:$F$65,5,false)</f>
        <v/>
      </c>
      <c r="AE71" s="5" t="s">
        <v>85</v>
      </c>
      <c r="AF71" s="5">
        <f>VLOOKUP(AE71,'Team Hub'!$B$1:$F$65,4,false)</f>
        <v>190</v>
      </c>
      <c r="AG71" s="4" t="str">
        <f>VLOOKUP(AE71,'Team Hub'!$B$1:$F$65,5,false)</f>
        <v/>
      </c>
      <c r="AH71" s="5" t="s">
        <v>116</v>
      </c>
      <c r="AI71" s="5">
        <f>VLOOKUP(AH71,'Team Hub'!$B$1:$F$65,4,false)</f>
        <v>0</v>
      </c>
      <c r="AJ71" s="4" t="str">
        <f>VLOOKUP(AH71,'Team Hub'!$B$1:$F$65,5,false)</f>
        <v/>
      </c>
      <c r="AK71" s="5" t="s">
        <v>64</v>
      </c>
      <c r="AL71" s="5">
        <f>VLOOKUP(AK71,'Team Hub'!$B$1:$F$65,4,false)</f>
        <v>210</v>
      </c>
      <c r="AM71" s="4" t="str">
        <f>VLOOKUP(AK71,'Team Hub'!$B$1:$F$65,5,false)</f>
        <v/>
      </c>
      <c r="AN71" s="5" t="s">
        <v>110</v>
      </c>
      <c r="AO71" s="5">
        <f>VLOOKUP(AN71,'Team Hub'!$B$1:$F$65,4,false)</f>
        <v>0</v>
      </c>
      <c r="AP71" s="4" t="str">
        <f>VLOOKUP(AN71,'Team Hub'!$B$1:$F$65,5,false)</f>
        <v/>
      </c>
      <c r="AQ71" s="5" t="s">
        <v>89</v>
      </c>
      <c r="AR71" s="5">
        <f>VLOOKUP(AQ71,'Team Hub'!$B$1:$F$65,4,false)</f>
        <v>0</v>
      </c>
      <c r="AS71" s="4" t="str">
        <f>VLOOKUP(AQ71,'Team Hub'!$B$1:$F$65,5,false)</f>
        <v/>
      </c>
      <c r="AT71" s="5" t="s">
        <v>79</v>
      </c>
      <c r="AU71" s="5">
        <f>VLOOKUP(AT71,'Team Hub'!$B$1:$F$65,4,false)</f>
        <v>0</v>
      </c>
      <c r="AV71" s="4" t="str">
        <f>VLOOKUP(AT71,'Team Hub'!$B$1:$F$65,5,false)</f>
        <v/>
      </c>
      <c r="AW71" s="5" t="s">
        <v>68</v>
      </c>
      <c r="AX71" s="5">
        <f>VLOOKUP(AW71,'Team Hub'!$B$1:$F$65,4,false)</f>
        <v>0</v>
      </c>
      <c r="AY71" s="4" t="str">
        <f>VLOOKUP(AW71,'Team Hub'!$B$1:$F$65,5,false)</f>
        <v/>
      </c>
      <c r="AZ71" s="4" t="s">
        <v>69</v>
      </c>
    </row>
    <row r="72" ht="22.5" customHeight="1">
      <c r="A72" s="4" t="s">
        <v>186</v>
      </c>
      <c r="B72" s="2">
        <f t="shared" ref="B72:C72" si="71">sum(E72+H72+K72+N72+Q72+T72+W72+Z72+AC72+AF72+AI72+AL72+AO72+AR72+AU72+AX72)</f>
        <v>2170</v>
      </c>
      <c r="C72" s="2">
        <f t="shared" si="71"/>
        <v>0</v>
      </c>
      <c r="D72" s="5" t="s">
        <v>91</v>
      </c>
      <c r="E72" s="5">
        <f>VLOOKUP(D72,'Team Hub'!$B$1:$F$65,4,false)</f>
        <v>400</v>
      </c>
      <c r="F72" s="4" t="str">
        <f>VLOOKUP(D72,'Team Hub'!$B$1:$F$65,5,false)</f>
        <v/>
      </c>
      <c r="G72" s="5" t="s">
        <v>54</v>
      </c>
      <c r="H72" s="5">
        <f>VLOOKUP(G72,'Team Hub'!$B$1:$F$65,4,false)</f>
        <v>330</v>
      </c>
      <c r="I72" s="4" t="str">
        <f>VLOOKUP(G72,'Team Hub'!$B$1:$F$65,5,false)</f>
        <v/>
      </c>
      <c r="J72" s="5" t="s">
        <v>55</v>
      </c>
      <c r="K72" s="5">
        <f>VLOOKUP(J72,'Team Hub'!$B$1:$F$65,4,false)</f>
        <v>360</v>
      </c>
      <c r="L72" s="4" t="str">
        <f>VLOOKUP(J72,'Team Hub'!$B$1:$F$65,5,false)</f>
        <v/>
      </c>
      <c r="M72" s="5" t="s">
        <v>56</v>
      </c>
      <c r="N72" s="5">
        <f>VLOOKUP(M72,'Team Hub'!$B$1:$F$65,4,false)</f>
        <v>260</v>
      </c>
      <c r="O72" s="5" t="str">
        <f>VLOOKUP(M72,'Team Hub'!$B$1:$F$65,5,false)</f>
        <v/>
      </c>
      <c r="P72" s="5" t="s">
        <v>136</v>
      </c>
      <c r="Q72" s="5">
        <f>VLOOKUP(P72,'Team Hub'!$B$1:$F$65,4,false)</f>
        <v>0</v>
      </c>
      <c r="R72" s="5" t="str">
        <f>VLOOKUP(P72,'Team Hub'!$B$1:$F$65,5,false)</f>
        <v/>
      </c>
      <c r="S72" s="5" t="s">
        <v>58</v>
      </c>
      <c r="T72" s="5">
        <f>VLOOKUP(S72,'Team Hub'!$B$1:$F$65,4,false)</f>
        <v>300</v>
      </c>
      <c r="U72" s="5" t="str">
        <f>VLOOKUP(S72,'Team Hub'!$B$1:$F$65,5,false)</f>
        <v/>
      </c>
      <c r="V72" s="5" t="s">
        <v>93</v>
      </c>
      <c r="W72" s="5">
        <f>VLOOKUP(V72,'Team Hub'!$B$1:$F$65,4,false)</f>
        <v>160</v>
      </c>
      <c r="X72" s="5" t="str">
        <f>VLOOKUP(V72,'Team Hub'!$B$1:$F$65,5,false)</f>
        <v/>
      </c>
      <c r="Y72" s="5" t="s">
        <v>76</v>
      </c>
      <c r="Z72" s="5">
        <f>VLOOKUP(Y72,'Team Hub'!$B$1:$F$65,4,false)</f>
        <v>170</v>
      </c>
      <c r="AA72" s="4" t="str">
        <f>VLOOKUP(Y72,'Team Hub'!$B$1:$F$65,5,false)</f>
        <v/>
      </c>
      <c r="AB72" s="5" t="s">
        <v>84</v>
      </c>
      <c r="AC72" s="5">
        <f>VLOOKUP(AB72,'Team Hub'!$B$1:$F$65,4,false)</f>
        <v>0</v>
      </c>
      <c r="AD72" s="4" t="str">
        <f>VLOOKUP(AB72,'Team Hub'!$B$1:$F$65,5,false)</f>
        <v/>
      </c>
      <c r="AE72" s="5" t="s">
        <v>85</v>
      </c>
      <c r="AF72" s="5">
        <f>VLOOKUP(AE72,'Team Hub'!$B$1:$F$65,4,false)</f>
        <v>190</v>
      </c>
      <c r="AG72" s="4" t="str">
        <f>VLOOKUP(AE72,'Team Hub'!$B$1:$F$65,5,false)</f>
        <v/>
      </c>
      <c r="AH72" s="5" t="s">
        <v>116</v>
      </c>
      <c r="AI72" s="5">
        <f>VLOOKUP(AH72,'Team Hub'!$B$1:$F$65,4,false)</f>
        <v>0</v>
      </c>
      <c r="AJ72" s="4" t="str">
        <f>VLOOKUP(AH72,'Team Hub'!$B$1:$F$65,5,false)</f>
        <v/>
      </c>
      <c r="AK72" s="5" t="s">
        <v>138</v>
      </c>
      <c r="AL72" s="5">
        <f>VLOOKUP(AK72,'Team Hub'!$B$1:$F$65,4,false)</f>
        <v>0</v>
      </c>
      <c r="AM72" s="4" t="str">
        <f>VLOOKUP(AK72,'Team Hub'!$B$1:$F$65,5,false)</f>
        <v/>
      </c>
      <c r="AN72" s="5" t="s">
        <v>65</v>
      </c>
      <c r="AO72" s="5">
        <f>VLOOKUP(AN72,'Team Hub'!$B$1:$F$65,4,false)</f>
        <v>0</v>
      </c>
      <c r="AP72" s="4" t="str">
        <f>VLOOKUP(AN72,'Team Hub'!$B$1:$F$65,5,false)</f>
        <v/>
      </c>
      <c r="AQ72" s="5" t="s">
        <v>66</v>
      </c>
      <c r="AR72" s="5">
        <f>VLOOKUP(AQ72,'Team Hub'!$B$1:$F$65,4,false)</f>
        <v>0</v>
      </c>
      <c r="AS72" s="4" t="str">
        <f>VLOOKUP(AQ72,'Team Hub'!$B$1:$F$65,5,false)</f>
        <v/>
      </c>
      <c r="AT72" s="5" t="s">
        <v>79</v>
      </c>
      <c r="AU72" s="5">
        <f>VLOOKUP(AT72,'Team Hub'!$B$1:$F$65,4,false)</f>
        <v>0</v>
      </c>
      <c r="AV72" s="4" t="str">
        <f>VLOOKUP(AT72,'Team Hub'!$B$1:$F$65,5,false)</f>
        <v/>
      </c>
      <c r="AW72" s="5" t="s">
        <v>103</v>
      </c>
      <c r="AX72" s="5">
        <f>VLOOKUP(AW72,'Team Hub'!$B$1:$F$65,4,false)</f>
        <v>0</v>
      </c>
      <c r="AY72" s="4" t="str">
        <f>VLOOKUP(AW72,'Team Hub'!$B$1:$F$65,5,false)</f>
        <v/>
      </c>
      <c r="AZ72" s="4" t="s">
        <v>69</v>
      </c>
    </row>
    <row r="73" ht="22.5" customHeight="1">
      <c r="A73" s="4" t="s">
        <v>187</v>
      </c>
      <c r="B73" s="2">
        <f t="shared" ref="B73:C73" si="72">sum(E73+H73+K73+N73+Q73+T73+W73+Z73+AC73+AF73+AI73+AL73+AO73+AR73+AU73+AX73)</f>
        <v>2170</v>
      </c>
      <c r="C73" s="2">
        <f t="shared" si="72"/>
        <v>0</v>
      </c>
      <c r="D73" s="5" t="s">
        <v>53</v>
      </c>
      <c r="E73" s="5">
        <f>VLOOKUP(D73,'Team Hub'!$B$1:$F$65,4,false)</f>
        <v>400</v>
      </c>
      <c r="F73" s="4" t="str">
        <f>VLOOKUP(D73,'Team Hub'!$B$1:$F$65,5,false)</f>
        <v/>
      </c>
      <c r="G73" s="5" t="s">
        <v>54</v>
      </c>
      <c r="H73" s="5">
        <f>VLOOKUP(G73,'Team Hub'!$B$1:$F$65,4,false)</f>
        <v>330</v>
      </c>
      <c r="I73" s="4" t="str">
        <f>VLOOKUP(G73,'Team Hub'!$B$1:$F$65,5,false)</f>
        <v/>
      </c>
      <c r="J73" s="5" t="s">
        <v>55</v>
      </c>
      <c r="K73" s="5">
        <f>VLOOKUP(J73,'Team Hub'!$B$1:$F$65,4,false)</f>
        <v>360</v>
      </c>
      <c r="L73" s="4" t="str">
        <f>VLOOKUP(J73,'Team Hub'!$B$1:$F$65,5,false)</f>
        <v/>
      </c>
      <c r="M73" s="5" t="s">
        <v>97</v>
      </c>
      <c r="N73" s="5">
        <f>VLOOKUP(M73,'Team Hub'!$B$1:$F$65,4,false)</f>
        <v>260</v>
      </c>
      <c r="O73" s="5" t="str">
        <f>VLOOKUP(M73,'Team Hub'!$B$1:$F$65,5,false)</f>
        <v/>
      </c>
      <c r="P73" s="5" t="s">
        <v>57</v>
      </c>
      <c r="Q73" s="5">
        <f>VLOOKUP(P73,'Team Hub'!$B$1:$F$65,4,false)</f>
        <v>280</v>
      </c>
      <c r="R73" s="5" t="str">
        <f>VLOOKUP(P73,'Team Hub'!$B$1:$F$65,5,false)</f>
        <v/>
      </c>
      <c r="S73" s="5" t="s">
        <v>92</v>
      </c>
      <c r="T73" s="5">
        <f>VLOOKUP(S73,'Team Hub'!$B$1:$F$65,4,false)</f>
        <v>150</v>
      </c>
      <c r="U73" s="5" t="str">
        <f>VLOOKUP(S73,'Team Hub'!$B$1:$F$65,5,false)</f>
        <v/>
      </c>
      <c r="V73" s="5" t="s">
        <v>75</v>
      </c>
      <c r="W73" s="5">
        <f>VLOOKUP(V73,'Team Hub'!$B$1:$F$65,4,false)</f>
        <v>0</v>
      </c>
      <c r="X73" s="5" t="str">
        <f>VLOOKUP(V73,'Team Hub'!$B$1:$F$65,5,false)</f>
        <v/>
      </c>
      <c r="Y73" s="5" t="s">
        <v>188</v>
      </c>
      <c r="Z73" s="5">
        <f>VLOOKUP(Y73,'Team Hub'!$B$1:$F$65,4,false)</f>
        <v>0</v>
      </c>
      <c r="AA73" s="4" t="str">
        <f>VLOOKUP(Y73,'Team Hub'!$B$1:$F$65,5,false)</f>
        <v/>
      </c>
      <c r="AB73" s="5" t="s">
        <v>61</v>
      </c>
      <c r="AC73" s="5">
        <f>VLOOKUP(AB73,'Team Hub'!$B$1:$F$65,4,false)</f>
        <v>180</v>
      </c>
      <c r="AD73" s="4" t="str">
        <f>VLOOKUP(AB73,'Team Hub'!$B$1:$F$65,5,false)</f>
        <v/>
      </c>
      <c r="AE73" s="5" t="s">
        <v>154</v>
      </c>
      <c r="AF73" s="5">
        <f>VLOOKUP(AE73,'Team Hub'!$B$1:$F$65,4,false)</f>
        <v>0</v>
      </c>
      <c r="AG73" s="4" t="str">
        <f>VLOOKUP(AE73,'Team Hub'!$B$1:$F$65,5,false)</f>
        <v/>
      </c>
      <c r="AH73" s="5" t="s">
        <v>63</v>
      </c>
      <c r="AI73" s="5">
        <f>VLOOKUP(AH73,'Team Hub'!$B$1:$F$65,4,false)</f>
        <v>0</v>
      </c>
      <c r="AJ73" s="4" t="str">
        <f>VLOOKUP(AH73,'Team Hub'!$B$1:$F$65,5,false)</f>
        <v/>
      </c>
      <c r="AK73" s="5" t="s">
        <v>64</v>
      </c>
      <c r="AL73" s="5">
        <f>VLOOKUP(AK73,'Team Hub'!$B$1:$F$65,4,false)</f>
        <v>210</v>
      </c>
      <c r="AM73" s="4" t="str">
        <f>VLOOKUP(AK73,'Team Hub'!$B$1:$F$65,5,false)</f>
        <v/>
      </c>
      <c r="AN73" s="5" t="s">
        <v>77</v>
      </c>
      <c r="AO73" s="5">
        <f>VLOOKUP(AN73,'Team Hub'!$B$1:$F$65,4,false)</f>
        <v>0</v>
      </c>
      <c r="AP73" s="4" t="str">
        <f>VLOOKUP(AN73,'Team Hub'!$B$1:$F$65,5,false)</f>
        <v/>
      </c>
      <c r="AQ73" s="5" t="s">
        <v>78</v>
      </c>
      <c r="AR73" s="5">
        <f>VLOOKUP(AQ73,'Team Hub'!$B$1:$F$65,4,false)</f>
        <v>0</v>
      </c>
      <c r="AS73" s="4" t="str">
        <f>VLOOKUP(AQ73,'Team Hub'!$B$1:$F$65,5,false)</f>
        <v/>
      </c>
      <c r="AT73" s="5" t="s">
        <v>67</v>
      </c>
      <c r="AU73" s="5">
        <f>VLOOKUP(AT73,'Team Hub'!$B$1:$F$65,4,false)</f>
        <v>0</v>
      </c>
      <c r="AV73" s="4" t="str">
        <f>VLOOKUP(AT73,'Team Hub'!$B$1:$F$65,5,false)</f>
        <v/>
      </c>
      <c r="AW73" s="5" t="s">
        <v>103</v>
      </c>
      <c r="AX73" s="5">
        <f>VLOOKUP(AW73,'Team Hub'!$B$1:$F$65,4,false)</f>
        <v>0</v>
      </c>
      <c r="AY73" s="4" t="str">
        <f>VLOOKUP(AW73,'Team Hub'!$B$1:$F$65,5,false)</f>
        <v/>
      </c>
      <c r="AZ73" s="4" t="s">
        <v>69</v>
      </c>
    </row>
    <row r="74" ht="22.5" customHeight="1">
      <c r="A74" s="4" t="s">
        <v>189</v>
      </c>
      <c r="B74" s="2">
        <f t="shared" ref="B74:C74" si="73">sum(E74+H74+K74+N74+Q74+T74+W74+Z74+AC74+AF74+AI74+AL74+AO74+AR74+AU74+AX74)</f>
        <v>2160</v>
      </c>
      <c r="C74" s="2">
        <f t="shared" si="73"/>
        <v>0</v>
      </c>
      <c r="D74" s="5" t="s">
        <v>53</v>
      </c>
      <c r="E74" s="5">
        <f>VLOOKUP(D74,'Team Hub'!$B$1:$F$65,4,false)</f>
        <v>400</v>
      </c>
      <c r="F74" s="4" t="str">
        <f>VLOOKUP(D74,'Team Hub'!$B$1:$F$65,5,false)</f>
        <v/>
      </c>
      <c r="G74" s="5" t="s">
        <v>81</v>
      </c>
      <c r="H74" s="5">
        <f>VLOOKUP(G74,'Team Hub'!$B$1:$F$65,4,false)</f>
        <v>330</v>
      </c>
      <c r="I74" s="4" t="str">
        <f>VLOOKUP(G74,'Team Hub'!$B$1:$F$65,5,false)</f>
        <v/>
      </c>
      <c r="J74" s="5" t="s">
        <v>55</v>
      </c>
      <c r="K74" s="5">
        <f>VLOOKUP(J74,'Team Hub'!$B$1:$F$65,4,false)</f>
        <v>360</v>
      </c>
      <c r="L74" s="4" t="str">
        <f>VLOOKUP(J74,'Team Hub'!$B$1:$F$65,5,false)</f>
        <v/>
      </c>
      <c r="M74" s="5" t="s">
        <v>56</v>
      </c>
      <c r="N74" s="5">
        <f>VLOOKUP(M74,'Team Hub'!$B$1:$F$65,4,false)</f>
        <v>260</v>
      </c>
      <c r="O74" s="5" t="str">
        <f>VLOOKUP(M74,'Team Hub'!$B$1:$F$65,5,false)</f>
        <v/>
      </c>
      <c r="P74" s="5" t="s">
        <v>132</v>
      </c>
      <c r="Q74" s="5">
        <f>VLOOKUP(P74,'Team Hub'!$B$1:$F$65,4,false)</f>
        <v>0</v>
      </c>
      <c r="R74" s="5" t="str">
        <f>VLOOKUP(P74,'Team Hub'!$B$1:$F$65,5,false)</f>
        <v/>
      </c>
      <c r="S74" s="5" t="s">
        <v>58</v>
      </c>
      <c r="T74" s="5">
        <f>VLOOKUP(S74,'Team Hub'!$B$1:$F$65,4,false)</f>
        <v>300</v>
      </c>
      <c r="U74" s="5" t="str">
        <f>VLOOKUP(S74,'Team Hub'!$B$1:$F$65,5,false)</f>
        <v/>
      </c>
      <c r="V74" s="5" t="s">
        <v>59</v>
      </c>
      <c r="W74" s="5">
        <f>VLOOKUP(V74,'Team Hub'!$B$1:$F$65,4,false)</f>
        <v>160</v>
      </c>
      <c r="X74" s="5" t="str">
        <f>VLOOKUP(V74,'Team Hub'!$B$1:$F$65,5,false)</f>
        <v/>
      </c>
      <c r="Y74" s="5" t="s">
        <v>60</v>
      </c>
      <c r="Z74" s="5">
        <f>VLOOKUP(Y74,'Team Hub'!$B$1:$F$65,4,false)</f>
        <v>170</v>
      </c>
      <c r="AA74" s="4" t="str">
        <f>VLOOKUP(Y74,'Team Hub'!$B$1:$F$65,5,false)</f>
        <v/>
      </c>
      <c r="AB74" s="5" t="s">
        <v>61</v>
      </c>
      <c r="AC74" s="5">
        <f>VLOOKUP(AB74,'Team Hub'!$B$1:$F$65,4,false)</f>
        <v>180</v>
      </c>
      <c r="AD74" s="4" t="str">
        <f>VLOOKUP(AB74,'Team Hub'!$B$1:$F$65,5,false)</f>
        <v/>
      </c>
      <c r="AE74" s="5" t="s">
        <v>123</v>
      </c>
      <c r="AF74" s="5">
        <f>VLOOKUP(AE74,'Team Hub'!$B$1:$F$65,4,false)</f>
        <v>0</v>
      </c>
      <c r="AG74" s="4" t="str">
        <f>VLOOKUP(AE74,'Team Hub'!$B$1:$F$65,5,false)</f>
        <v/>
      </c>
      <c r="AH74" s="5" t="s">
        <v>63</v>
      </c>
      <c r="AI74" s="5">
        <f>VLOOKUP(AH74,'Team Hub'!$B$1:$F$65,4,false)</f>
        <v>0</v>
      </c>
      <c r="AJ74" s="4" t="str">
        <f>VLOOKUP(AH74,'Team Hub'!$B$1:$F$65,5,false)</f>
        <v/>
      </c>
      <c r="AK74" s="5" t="s">
        <v>107</v>
      </c>
      <c r="AL74" s="5">
        <f>VLOOKUP(AK74,'Team Hub'!$B$1:$F$65,4,false)</f>
        <v>0</v>
      </c>
      <c r="AM74" s="4" t="str">
        <f>VLOOKUP(AK74,'Team Hub'!$B$1:$F$65,5,false)</f>
        <v/>
      </c>
      <c r="AN74" s="5" t="s">
        <v>77</v>
      </c>
      <c r="AO74" s="5">
        <f>VLOOKUP(AN74,'Team Hub'!$B$1:$F$65,4,false)</f>
        <v>0</v>
      </c>
      <c r="AP74" s="4" t="str">
        <f>VLOOKUP(AN74,'Team Hub'!$B$1:$F$65,5,false)</f>
        <v/>
      </c>
      <c r="AQ74" s="5" t="s">
        <v>78</v>
      </c>
      <c r="AR74" s="5">
        <f>VLOOKUP(AQ74,'Team Hub'!$B$1:$F$65,4,false)</f>
        <v>0</v>
      </c>
      <c r="AS74" s="4" t="str">
        <f>VLOOKUP(AQ74,'Team Hub'!$B$1:$F$65,5,false)</f>
        <v/>
      </c>
      <c r="AT74" s="5" t="s">
        <v>67</v>
      </c>
      <c r="AU74" s="5">
        <f>VLOOKUP(AT74,'Team Hub'!$B$1:$F$65,4,false)</f>
        <v>0</v>
      </c>
      <c r="AV74" s="4" t="str">
        <f>VLOOKUP(AT74,'Team Hub'!$B$1:$F$65,5,false)</f>
        <v/>
      </c>
      <c r="AW74" s="5" t="s">
        <v>99</v>
      </c>
      <c r="AX74" s="5">
        <f>VLOOKUP(AW74,'Team Hub'!$B$1:$F$65,4,false)</f>
        <v>0</v>
      </c>
      <c r="AY74" s="4" t="str">
        <f>VLOOKUP(AW74,'Team Hub'!$B$1:$F$65,5,false)</f>
        <v/>
      </c>
      <c r="AZ74" s="4" t="s">
        <v>69</v>
      </c>
    </row>
    <row r="75" ht="22.5" customHeight="1">
      <c r="A75" s="4" t="s">
        <v>190</v>
      </c>
      <c r="B75" s="2">
        <f t="shared" ref="B75:C75" si="74">sum(E75+H75+K75+N75+Q75+T75+W75+Z75+AC75+AF75+AI75+AL75+AO75+AR75+AU75+AX75)</f>
        <v>2160</v>
      </c>
      <c r="C75" s="2">
        <f t="shared" si="74"/>
        <v>0</v>
      </c>
      <c r="D75" s="5" t="s">
        <v>53</v>
      </c>
      <c r="E75" s="5">
        <f>VLOOKUP(D75,'Team Hub'!$B$1:$F$65,4,false)</f>
        <v>400</v>
      </c>
      <c r="F75" s="4" t="str">
        <f>VLOOKUP(D75,'Team Hub'!$B$1:$F$65,5,false)</f>
        <v/>
      </c>
      <c r="G75" s="5" t="s">
        <v>109</v>
      </c>
      <c r="H75" s="5">
        <f>VLOOKUP(G75,'Team Hub'!$B$1:$F$65,4,false)</f>
        <v>110</v>
      </c>
      <c r="I75" s="4" t="str">
        <f>VLOOKUP(G75,'Team Hub'!$B$1:$F$65,5,false)</f>
        <v/>
      </c>
      <c r="J75" s="5" t="s">
        <v>55</v>
      </c>
      <c r="K75" s="5">
        <f>VLOOKUP(J75,'Team Hub'!$B$1:$F$65,4,false)</f>
        <v>360</v>
      </c>
      <c r="L75" s="4" t="str">
        <f>VLOOKUP(J75,'Team Hub'!$B$1:$F$65,5,false)</f>
        <v/>
      </c>
      <c r="M75" s="5" t="s">
        <v>97</v>
      </c>
      <c r="N75" s="5">
        <f>VLOOKUP(M75,'Team Hub'!$B$1:$F$65,4,false)</f>
        <v>260</v>
      </c>
      <c r="O75" s="5" t="str">
        <f>VLOOKUP(M75,'Team Hub'!$B$1:$F$65,5,false)</f>
        <v/>
      </c>
      <c r="P75" s="5" t="s">
        <v>57</v>
      </c>
      <c r="Q75" s="5">
        <f>VLOOKUP(P75,'Team Hub'!$B$1:$F$65,4,false)</f>
        <v>280</v>
      </c>
      <c r="R75" s="5" t="str">
        <f>VLOOKUP(P75,'Team Hub'!$B$1:$F$65,5,false)</f>
        <v/>
      </c>
      <c r="S75" s="5" t="s">
        <v>113</v>
      </c>
      <c r="T75" s="5">
        <f>VLOOKUP(S75,'Team Hub'!$B$1:$F$65,4,false)</f>
        <v>0</v>
      </c>
      <c r="U75" s="5" t="str">
        <f>VLOOKUP(S75,'Team Hub'!$B$1:$F$65,5,false)</f>
        <v/>
      </c>
      <c r="V75" s="5" t="s">
        <v>83</v>
      </c>
      <c r="W75" s="5">
        <f>VLOOKUP(V75,'Team Hub'!$B$1:$F$65,4,false)</f>
        <v>0</v>
      </c>
      <c r="X75" s="5" t="str">
        <f>VLOOKUP(V75,'Team Hub'!$B$1:$F$65,5,false)</f>
        <v/>
      </c>
      <c r="Y75" s="5" t="s">
        <v>60</v>
      </c>
      <c r="Z75" s="5">
        <f>VLOOKUP(Y75,'Team Hub'!$B$1:$F$65,4,false)</f>
        <v>170</v>
      </c>
      <c r="AA75" s="4" t="str">
        <f>VLOOKUP(Y75,'Team Hub'!$B$1:$F$65,5,false)</f>
        <v/>
      </c>
      <c r="AB75" s="5" t="s">
        <v>94</v>
      </c>
      <c r="AC75" s="5">
        <f>VLOOKUP(AB75,'Team Hub'!$B$1:$F$65,4,false)</f>
        <v>180</v>
      </c>
      <c r="AD75" s="4" t="str">
        <f>VLOOKUP(AB75,'Team Hub'!$B$1:$F$65,5,false)</f>
        <v/>
      </c>
      <c r="AE75" s="5" t="s">
        <v>85</v>
      </c>
      <c r="AF75" s="5">
        <f>VLOOKUP(AE75,'Team Hub'!$B$1:$F$65,4,false)</f>
        <v>190</v>
      </c>
      <c r="AG75" s="4" t="str">
        <f>VLOOKUP(AE75,'Team Hub'!$B$1:$F$65,5,false)</f>
        <v/>
      </c>
      <c r="AH75" s="5" t="s">
        <v>98</v>
      </c>
      <c r="AI75" s="5">
        <f>VLOOKUP(AH75,'Team Hub'!$B$1:$F$65,4,false)</f>
        <v>0</v>
      </c>
      <c r="AJ75" s="4" t="str">
        <f>VLOOKUP(AH75,'Team Hub'!$B$1:$F$65,5,false)</f>
        <v/>
      </c>
      <c r="AK75" s="5" t="s">
        <v>64</v>
      </c>
      <c r="AL75" s="5">
        <f>VLOOKUP(AK75,'Team Hub'!$B$1:$F$65,4,false)</f>
        <v>210</v>
      </c>
      <c r="AM75" s="4" t="str">
        <f>VLOOKUP(AK75,'Team Hub'!$B$1:$F$65,5,false)</f>
        <v/>
      </c>
      <c r="AN75" s="5" t="s">
        <v>77</v>
      </c>
      <c r="AO75" s="5">
        <f>VLOOKUP(AN75,'Team Hub'!$B$1:$F$65,4,false)</f>
        <v>0</v>
      </c>
      <c r="AP75" s="4" t="str">
        <f>VLOOKUP(AN75,'Team Hub'!$B$1:$F$65,5,false)</f>
        <v/>
      </c>
      <c r="AQ75" s="5" t="s">
        <v>78</v>
      </c>
      <c r="AR75" s="5">
        <f>VLOOKUP(AQ75,'Team Hub'!$B$1:$F$65,4,false)</f>
        <v>0</v>
      </c>
      <c r="AS75" s="4" t="str">
        <f>VLOOKUP(AQ75,'Team Hub'!$B$1:$F$65,5,false)</f>
        <v/>
      </c>
      <c r="AT75" s="5" t="s">
        <v>79</v>
      </c>
      <c r="AU75" s="5">
        <f>VLOOKUP(AT75,'Team Hub'!$B$1:$F$65,4,false)</f>
        <v>0</v>
      </c>
      <c r="AV75" s="4" t="str">
        <f>VLOOKUP(AT75,'Team Hub'!$B$1:$F$65,5,false)</f>
        <v/>
      </c>
      <c r="AW75" s="5" t="s">
        <v>68</v>
      </c>
      <c r="AX75" s="5">
        <f>VLOOKUP(AW75,'Team Hub'!$B$1:$F$65,4,false)</f>
        <v>0</v>
      </c>
      <c r="AY75" s="4" t="str">
        <f>VLOOKUP(AW75,'Team Hub'!$B$1:$F$65,5,false)</f>
        <v/>
      </c>
      <c r="AZ75" s="4" t="s">
        <v>69</v>
      </c>
    </row>
    <row r="76" ht="22.5" customHeight="1">
      <c r="A76" s="4" t="s">
        <v>191</v>
      </c>
      <c r="B76" s="2">
        <f t="shared" ref="B76:C76" si="75">sum(E76+H76+K76+N76+Q76+T76+W76+Z76+AC76+AF76+AI76+AL76+AO76+AR76+AU76+AX76)</f>
        <v>2130</v>
      </c>
      <c r="C76" s="2">
        <f t="shared" si="75"/>
        <v>0</v>
      </c>
      <c r="D76" s="5" t="s">
        <v>53</v>
      </c>
      <c r="E76" s="5">
        <f>VLOOKUP(D76,'Team Hub'!$B$1:$F$65,4,false)</f>
        <v>400</v>
      </c>
      <c r="F76" s="4" t="str">
        <f>VLOOKUP(D76,'Team Hub'!$B$1:$F$65,5,false)</f>
        <v/>
      </c>
      <c r="G76" s="5" t="s">
        <v>54</v>
      </c>
      <c r="H76" s="5">
        <f>VLOOKUP(G76,'Team Hub'!$B$1:$F$65,4,false)</f>
        <v>330</v>
      </c>
      <c r="I76" s="4" t="str">
        <f>VLOOKUP(G76,'Team Hub'!$B$1:$F$65,5,false)</f>
        <v/>
      </c>
      <c r="J76" s="5" t="s">
        <v>121</v>
      </c>
      <c r="K76" s="5">
        <f>VLOOKUP(J76,'Team Hub'!$B$1:$F$65,4,false)</f>
        <v>120</v>
      </c>
      <c r="L76" s="4" t="str">
        <f>VLOOKUP(J76,'Team Hub'!$B$1:$F$65,5,false)</f>
        <v/>
      </c>
      <c r="M76" s="5" t="s">
        <v>56</v>
      </c>
      <c r="N76" s="5">
        <f>VLOOKUP(M76,'Team Hub'!$B$1:$F$65,4,false)</f>
        <v>260</v>
      </c>
      <c r="O76" s="5" t="str">
        <f>VLOOKUP(M76,'Team Hub'!$B$1:$F$65,5,false)</f>
        <v/>
      </c>
      <c r="P76" s="5" t="s">
        <v>136</v>
      </c>
      <c r="Q76" s="5">
        <f>VLOOKUP(P76,'Team Hub'!$B$1:$F$65,4,false)</f>
        <v>0</v>
      </c>
      <c r="R76" s="5" t="str">
        <f>VLOOKUP(P76,'Team Hub'!$B$1:$F$65,5,false)</f>
        <v/>
      </c>
      <c r="S76" s="5" t="s">
        <v>58</v>
      </c>
      <c r="T76" s="5">
        <f>VLOOKUP(S76,'Team Hub'!$B$1:$F$65,4,false)</f>
        <v>300</v>
      </c>
      <c r="U76" s="5" t="str">
        <f>VLOOKUP(S76,'Team Hub'!$B$1:$F$65,5,false)</f>
        <v/>
      </c>
      <c r="V76" s="5" t="s">
        <v>59</v>
      </c>
      <c r="W76" s="5">
        <f>VLOOKUP(V76,'Team Hub'!$B$1:$F$65,4,false)</f>
        <v>160</v>
      </c>
      <c r="X76" s="5" t="str">
        <f>VLOOKUP(V76,'Team Hub'!$B$1:$F$65,5,false)</f>
        <v/>
      </c>
      <c r="Y76" s="5" t="s">
        <v>60</v>
      </c>
      <c r="Z76" s="5">
        <f>VLOOKUP(Y76,'Team Hub'!$B$1:$F$65,4,false)</f>
        <v>170</v>
      </c>
      <c r="AA76" s="4" t="str">
        <f>VLOOKUP(Y76,'Team Hub'!$B$1:$F$65,5,false)</f>
        <v/>
      </c>
      <c r="AB76" s="5" t="s">
        <v>61</v>
      </c>
      <c r="AC76" s="5">
        <f>VLOOKUP(AB76,'Team Hub'!$B$1:$F$65,4,false)</f>
        <v>180</v>
      </c>
      <c r="AD76" s="4" t="str">
        <f>VLOOKUP(AB76,'Team Hub'!$B$1:$F$65,5,false)</f>
        <v/>
      </c>
      <c r="AE76" s="5" t="s">
        <v>123</v>
      </c>
      <c r="AF76" s="5">
        <f>VLOOKUP(AE76,'Team Hub'!$B$1:$F$65,4,false)</f>
        <v>0</v>
      </c>
      <c r="AG76" s="4" t="str">
        <f>VLOOKUP(AE76,'Team Hub'!$B$1:$F$65,5,false)</f>
        <v/>
      </c>
      <c r="AH76" s="5" t="s">
        <v>63</v>
      </c>
      <c r="AI76" s="5">
        <f>VLOOKUP(AH76,'Team Hub'!$B$1:$F$65,4,false)</f>
        <v>0</v>
      </c>
      <c r="AJ76" s="4" t="str">
        <f>VLOOKUP(AH76,'Team Hub'!$B$1:$F$65,5,false)</f>
        <v/>
      </c>
      <c r="AK76" s="5" t="s">
        <v>87</v>
      </c>
      <c r="AL76" s="5">
        <f>VLOOKUP(AK76,'Team Hub'!$B$1:$F$65,4,false)</f>
        <v>210</v>
      </c>
      <c r="AM76" s="4" t="str">
        <f>VLOOKUP(AK76,'Team Hub'!$B$1:$F$65,5,false)</f>
        <v/>
      </c>
      <c r="AN76" s="5" t="s">
        <v>88</v>
      </c>
      <c r="AO76" s="5">
        <f>VLOOKUP(AN76,'Team Hub'!$B$1:$F$65,4,false)</f>
        <v>0</v>
      </c>
      <c r="AP76" s="4" t="str">
        <f>VLOOKUP(AN76,'Team Hub'!$B$1:$F$65,5,false)</f>
        <v/>
      </c>
      <c r="AQ76" s="5" t="s">
        <v>117</v>
      </c>
      <c r="AR76" s="5">
        <f>VLOOKUP(AQ76,'Team Hub'!$B$1:$F$65,4,false)</f>
        <v>0</v>
      </c>
      <c r="AS76" s="4" t="str">
        <f>VLOOKUP(AQ76,'Team Hub'!$B$1:$F$65,5,false)</f>
        <v/>
      </c>
      <c r="AT76" s="5" t="s">
        <v>67</v>
      </c>
      <c r="AU76" s="5">
        <f>VLOOKUP(AT76,'Team Hub'!$B$1:$F$65,4,false)</f>
        <v>0</v>
      </c>
      <c r="AV76" s="4" t="str">
        <f>VLOOKUP(AT76,'Team Hub'!$B$1:$F$65,5,false)</f>
        <v/>
      </c>
      <c r="AW76" s="5" t="s">
        <v>95</v>
      </c>
      <c r="AX76" s="5">
        <f>VLOOKUP(AW76,'Team Hub'!$B$1:$F$65,4,false)</f>
        <v>0</v>
      </c>
      <c r="AY76" s="4" t="str">
        <f>VLOOKUP(AW76,'Team Hub'!$B$1:$F$65,5,false)</f>
        <v/>
      </c>
      <c r="AZ76" s="4" t="s">
        <v>69</v>
      </c>
    </row>
    <row r="77" ht="22.5" customHeight="1">
      <c r="A77" s="4" t="s">
        <v>192</v>
      </c>
      <c r="B77" s="2">
        <f t="shared" ref="B77:C77" si="76">sum(E77+H77+K77+N77+Q77+T77+W77+Z77+AC77+AF77+AI77+AL77+AO77+AR77+AU77+AX77)</f>
        <v>2130</v>
      </c>
      <c r="C77" s="2">
        <f t="shared" si="76"/>
        <v>1</v>
      </c>
      <c r="D77" s="4" t="s">
        <v>71</v>
      </c>
      <c r="E77" s="4">
        <f>VLOOKUP(D77,'Team Hub'!$B$1:$F$65,4,false)</f>
        <v>600</v>
      </c>
      <c r="F77" s="4">
        <f>VLOOKUP(D77,'Team Hub'!$B$1:$F$65,5,false)</f>
        <v>1</v>
      </c>
      <c r="G77" s="5" t="s">
        <v>72</v>
      </c>
      <c r="H77" s="5">
        <f>VLOOKUP(G77,'Team Hub'!$B$1:$F$65,4,false)</f>
        <v>330</v>
      </c>
      <c r="I77" s="5" t="str">
        <f>VLOOKUP(G77,'Team Hub'!$B$1:$F$65,5,false)</f>
        <v/>
      </c>
      <c r="J77" s="5" t="s">
        <v>121</v>
      </c>
      <c r="K77" s="5">
        <f>VLOOKUP(J77,'Team Hub'!$B$1:$F$65,4,false)</f>
        <v>120</v>
      </c>
      <c r="L77" s="4" t="str">
        <f>VLOOKUP(J77,'Team Hub'!$B$1:$F$65,5,false)</f>
        <v/>
      </c>
      <c r="M77" s="5" t="s">
        <v>97</v>
      </c>
      <c r="N77" s="5">
        <f>VLOOKUP(M77,'Team Hub'!$B$1:$F$65,4,false)</f>
        <v>260</v>
      </c>
      <c r="O77" s="5" t="str">
        <f>VLOOKUP(M77,'Team Hub'!$B$1:$F$65,5,false)</f>
        <v/>
      </c>
      <c r="P77" s="5" t="s">
        <v>102</v>
      </c>
      <c r="Q77" s="5">
        <f>VLOOKUP(P77,'Team Hub'!$B$1:$F$65,4,false)</f>
        <v>140</v>
      </c>
      <c r="R77" s="5" t="str">
        <f>VLOOKUP(P77,'Team Hub'!$B$1:$F$65,5,false)</f>
        <v/>
      </c>
      <c r="S77" s="5" t="s">
        <v>82</v>
      </c>
      <c r="T77" s="5">
        <f>VLOOKUP(S77,'Team Hub'!$B$1:$F$65,4,false)</f>
        <v>300</v>
      </c>
      <c r="U77" s="5" t="str">
        <f>VLOOKUP(S77,'Team Hub'!$B$1:$F$65,5,false)</f>
        <v/>
      </c>
      <c r="V77" s="5" t="s">
        <v>75</v>
      </c>
      <c r="W77" s="5">
        <f>VLOOKUP(V77,'Team Hub'!$B$1:$F$65,4,false)</f>
        <v>0</v>
      </c>
      <c r="X77" s="5" t="str">
        <f>VLOOKUP(V77,'Team Hub'!$B$1:$F$65,5,false)</f>
        <v/>
      </c>
      <c r="Y77" s="5" t="s">
        <v>126</v>
      </c>
      <c r="Z77" s="5">
        <f>VLOOKUP(Y77,'Team Hub'!$B$1:$F$65,4,false)</f>
        <v>0</v>
      </c>
      <c r="AA77" s="4" t="str">
        <f>VLOOKUP(Y77,'Team Hub'!$B$1:$F$65,5,false)</f>
        <v/>
      </c>
      <c r="AB77" s="5" t="s">
        <v>114</v>
      </c>
      <c r="AC77" s="5">
        <f>VLOOKUP(AB77,'Team Hub'!$B$1:$F$65,4,false)</f>
        <v>0</v>
      </c>
      <c r="AD77" s="4" t="str">
        <f>VLOOKUP(AB77,'Team Hub'!$B$1:$F$65,5,false)</f>
        <v/>
      </c>
      <c r="AE77" s="5" t="s">
        <v>62</v>
      </c>
      <c r="AF77" s="5">
        <f>VLOOKUP(AE77,'Team Hub'!$B$1:$F$65,4,false)</f>
        <v>380</v>
      </c>
      <c r="AG77" s="4" t="str">
        <f>VLOOKUP(AE77,'Team Hub'!$B$1:$F$65,5,false)</f>
        <v/>
      </c>
      <c r="AH77" s="5" t="s">
        <v>98</v>
      </c>
      <c r="AI77" s="5">
        <f>VLOOKUP(AH77,'Team Hub'!$B$1:$F$65,4,false)</f>
        <v>0</v>
      </c>
      <c r="AJ77" s="4" t="str">
        <f>VLOOKUP(AH77,'Team Hub'!$B$1:$F$65,5,false)</f>
        <v/>
      </c>
      <c r="AK77" s="5" t="s">
        <v>107</v>
      </c>
      <c r="AL77" s="5">
        <f>VLOOKUP(AK77,'Team Hub'!$B$1:$F$65,4,false)</f>
        <v>0</v>
      </c>
      <c r="AM77" s="4" t="str">
        <f>VLOOKUP(AK77,'Team Hub'!$B$1:$F$65,5,false)</f>
        <v/>
      </c>
      <c r="AN77" s="5" t="s">
        <v>77</v>
      </c>
      <c r="AO77" s="5">
        <f>VLOOKUP(AN77,'Team Hub'!$B$1:$F$65,4,false)</f>
        <v>0</v>
      </c>
      <c r="AP77" s="4" t="str">
        <f>VLOOKUP(AN77,'Team Hub'!$B$1:$F$65,5,false)</f>
        <v/>
      </c>
      <c r="AQ77" s="5" t="s">
        <v>66</v>
      </c>
      <c r="AR77" s="5">
        <f>VLOOKUP(AQ77,'Team Hub'!$B$1:$F$65,4,false)</f>
        <v>0</v>
      </c>
      <c r="AS77" s="4" t="str">
        <f>VLOOKUP(AQ77,'Team Hub'!$B$1:$F$65,5,false)</f>
        <v/>
      </c>
      <c r="AT77" s="5" t="s">
        <v>129</v>
      </c>
      <c r="AU77" s="5">
        <f>VLOOKUP(AT77,'Team Hub'!$B$1:$F$65,4,false)</f>
        <v>0</v>
      </c>
      <c r="AV77" s="4" t="str">
        <f>VLOOKUP(AT77,'Team Hub'!$B$1:$F$65,5,false)</f>
        <v/>
      </c>
      <c r="AW77" s="5" t="s">
        <v>103</v>
      </c>
      <c r="AX77" s="5">
        <f>VLOOKUP(AW77,'Team Hub'!$B$1:$F$65,4,false)</f>
        <v>0</v>
      </c>
      <c r="AY77" s="4" t="str">
        <f>VLOOKUP(AW77,'Team Hub'!$B$1:$F$65,5,false)</f>
        <v/>
      </c>
      <c r="AZ77" s="4" t="s">
        <v>69</v>
      </c>
    </row>
    <row r="78" ht="22.5" customHeight="1">
      <c r="A78" s="4" t="s">
        <v>193</v>
      </c>
      <c r="B78" s="2">
        <f t="shared" ref="B78:C78" si="77">sum(E78+H78+K78+N78+Q78+T78+W78+Z78+AC78+AF78+AI78+AL78+AO78+AR78+AU78+AX78)</f>
        <v>2120</v>
      </c>
      <c r="C78" s="2">
        <f t="shared" si="77"/>
        <v>0</v>
      </c>
      <c r="D78" s="5" t="s">
        <v>53</v>
      </c>
      <c r="E78" s="5">
        <f>VLOOKUP(D78,'Team Hub'!$B$1:$F$65,4,false)</f>
        <v>400</v>
      </c>
      <c r="F78" s="4" t="str">
        <f>VLOOKUP(D78,'Team Hub'!$B$1:$F$65,5,false)</f>
        <v/>
      </c>
      <c r="G78" s="5" t="s">
        <v>109</v>
      </c>
      <c r="H78" s="5">
        <f>VLOOKUP(G78,'Team Hub'!$B$1:$F$65,4,false)</f>
        <v>110</v>
      </c>
      <c r="I78" s="4" t="str">
        <f>VLOOKUP(G78,'Team Hub'!$B$1:$F$65,5,false)</f>
        <v/>
      </c>
      <c r="J78" s="5" t="s">
        <v>55</v>
      </c>
      <c r="K78" s="5">
        <f>VLOOKUP(J78,'Team Hub'!$B$1:$F$65,4,false)</f>
        <v>360</v>
      </c>
      <c r="L78" s="4" t="str">
        <f>VLOOKUP(J78,'Team Hub'!$B$1:$F$65,5,false)</f>
        <v/>
      </c>
      <c r="M78" s="5" t="s">
        <v>56</v>
      </c>
      <c r="N78" s="5">
        <f>VLOOKUP(M78,'Team Hub'!$B$1:$F$65,4,false)</f>
        <v>260</v>
      </c>
      <c r="O78" s="5" t="str">
        <f>VLOOKUP(M78,'Team Hub'!$B$1:$F$65,5,false)</f>
        <v/>
      </c>
      <c r="P78" s="5" t="s">
        <v>102</v>
      </c>
      <c r="Q78" s="5">
        <f>VLOOKUP(P78,'Team Hub'!$B$1:$F$65,4,false)</f>
        <v>140</v>
      </c>
      <c r="R78" s="5" t="str">
        <f>VLOOKUP(P78,'Team Hub'!$B$1:$F$65,5,false)</f>
        <v/>
      </c>
      <c r="S78" s="5" t="s">
        <v>92</v>
      </c>
      <c r="T78" s="5">
        <f>VLOOKUP(S78,'Team Hub'!$B$1:$F$65,4,false)</f>
        <v>150</v>
      </c>
      <c r="U78" s="5" t="str">
        <f>VLOOKUP(S78,'Team Hub'!$B$1:$F$65,5,false)</f>
        <v/>
      </c>
      <c r="V78" s="5" t="s">
        <v>59</v>
      </c>
      <c r="W78" s="5">
        <f>VLOOKUP(V78,'Team Hub'!$B$1:$F$65,4,false)</f>
        <v>160</v>
      </c>
      <c r="X78" s="5" t="str">
        <f>VLOOKUP(V78,'Team Hub'!$B$1:$F$65,5,false)</f>
        <v/>
      </c>
      <c r="Y78" s="5" t="s">
        <v>76</v>
      </c>
      <c r="Z78" s="5">
        <f>VLOOKUP(Y78,'Team Hub'!$B$1:$F$65,4,false)</f>
        <v>170</v>
      </c>
      <c r="AA78" s="4" t="str">
        <f>VLOOKUP(Y78,'Team Hub'!$B$1:$F$65,5,false)</f>
        <v/>
      </c>
      <c r="AB78" s="5" t="s">
        <v>61</v>
      </c>
      <c r="AC78" s="5">
        <f>VLOOKUP(AB78,'Team Hub'!$B$1:$F$65,4,false)</f>
        <v>180</v>
      </c>
      <c r="AD78" s="4" t="str">
        <f>VLOOKUP(AB78,'Team Hub'!$B$1:$F$65,5,false)</f>
        <v/>
      </c>
      <c r="AE78" s="5" t="s">
        <v>85</v>
      </c>
      <c r="AF78" s="5">
        <f>VLOOKUP(AE78,'Team Hub'!$B$1:$F$65,4,false)</f>
        <v>190</v>
      </c>
      <c r="AG78" s="4" t="str">
        <f>VLOOKUP(AE78,'Team Hub'!$B$1:$F$65,5,false)</f>
        <v/>
      </c>
      <c r="AH78" s="5" t="s">
        <v>98</v>
      </c>
      <c r="AI78" s="5">
        <f>VLOOKUP(AH78,'Team Hub'!$B$1:$F$65,4,false)</f>
        <v>0</v>
      </c>
      <c r="AJ78" s="4" t="str">
        <f>VLOOKUP(AH78,'Team Hub'!$B$1:$F$65,5,false)</f>
        <v/>
      </c>
      <c r="AK78" s="5" t="s">
        <v>107</v>
      </c>
      <c r="AL78" s="5">
        <f>VLOOKUP(AK78,'Team Hub'!$B$1:$F$65,4,false)</f>
        <v>0</v>
      </c>
      <c r="AM78" s="4" t="str">
        <f>VLOOKUP(AK78,'Team Hub'!$B$1:$F$65,5,false)</f>
        <v/>
      </c>
      <c r="AN78" s="5" t="s">
        <v>77</v>
      </c>
      <c r="AO78" s="5">
        <f>VLOOKUP(AN78,'Team Hub'!$B$1:$F$65,4,false)</f>
        <v>0</v>
      </c>
      <c r="AP78" s="4" t="str">
        <f>VLOOKUP(AN78,'Team Hub'!$B$1:$F$65,5,false)</f>
        <v/>
      </c>
      <c r="AQ78" s="5" t="s">
        <v>89</v>
      </c>
      <c r="AR78" s="5">
        <f>VLOOKUP(AQ78,'Team Hub'!$B$1:$F$65,4,false)</f>
        <v>0</v>
      </c>
      <c r="AS78" s="4" t="str">
        <f>VLOOKUP(AQ78,'Team Hub'!$B$1:$F$65,5,false)</f>
        <v/>
      </c>
      <c r="AT78" s="5" t="s">
        <v>129</v>
      </c>
      <c r="AU78" s="5">
        <f>VLOOKUP(AT78,'Team Hub'!$B$1:$F$65,4,false)</f>
        <v>0</v>
      </c>
      <c r="AV78" s="4" t="str">
        <f>VLOOKUP(AT78,'Team Hub'!$B$1:$F$65,5,false)</f>
        <v/>
      </c>
      <c r="AW78" s="5" t="s">
        <v>103</v>
      </c>
      <c r="AX78" s="5">
        <f>VLOOKUP(AW78,'Team Hub'!$B$1:$F$65,4,false)</f>
        <v>0</v>
      </c>
      <c r="AY78" s="4" t="str">
        <f>VLOOKUP(AW78,'Team Hub'!$B$1:$F$65,5,false)</f>
        <v/>
      </c>
      <c r="AZ78" s="4" t="s">
        <v>69</v>
      </c>
    </row>
    <row r="79" ht="22.5" customHeight="1">
      <c r="A79" s="4" t="s">
        <v>194</v>
      </c>
      <c r="B79" s="2">
        <f t="shared" ref="B79:C79" si="78">sum(E79+H79+K79+N79+Q79+T79+W79+Z79+AC79+AF79+AI79+AL79+AO79+AR79+AU79+AX79)</f>
        <v>2120</v>
      </c>
      <c r="C79" s="2">
        <f t="shared" si="78"/>
        <v>1</v>
      </c>
      <c r="D79" s="4" t="s">
        <v>71</v>
      </c>
      <c r="E79" s="4">
        <f>VLOOKUP(D79,'Team Hub'!$B$1:$F$65,4,false)</f>
        <v>600</v>
      </c>
      <c r="F79" s="4">
        <f>VLOOKUP(D79,'Team Hub'!$B$1:$F$65,5,false)</f>
        <v>1</v>
      </c>
      <c r="G79" s="5" t="s">
        <v>81</v>
      </c>
      <c r="H79" s="5">
        <f>VLOOKUP(G79,'Team Hub'!$B$1:$F$65,4,false)</f>
        <v>330</v>
      </c>
      <c r="I79" s="4" t="str">
        <f>VLOOKUP(G79,'Team Hub'!$B$1:$F$65,5,false)</f>
        <v/>
      </c>
      <c r="J79" s="5" t="s">
        <v>101</v>
      </c>
      <c r="K79" s="5">
        <f>VLOOKUP(J79,'Team Hub'!$B$1:$F$65,4,false)</f>
        <v>120</v>
      </c>
      <c r="L79" s="4" t="str">
        <f>VLOOKUP(J79,'Team Hub'!$B$1:$F$65,5,false)</f>
        <v/>
      </c>
      <c r="M79" s="5" t="s">
        <v>97</v>
      </c>
      <c r="N79" s="5">
        <f>VLOOKUP(M79,'Team Hub'!$B$1:$F$65,4,false)</f>
        <v>260</v>
      </c>
      <c r="O79" s="5" t="str">
        <f>VLOOKUP(M79,'Team Hub'!$B$1:$F$65,5,false)</f>
        <v/>
      </c>
      <c r="P79" s="5" t="s">
        <v>57</v>
      </c>
      <c r="Q79" s="5">
        <f>VLOOKUP(P79,'Team Hub'!$B$1:$F$65,4,false)</f>
        <v>280</v>
      </c>
      <c r="R79" s="5" t="str">
        <f>VLOOKUP(P79,'Team Hub'!$B$1:$F$65,5,false)</f>
        <v/>
      </c>
      <c r="S79" s="5" t="s">
        <v>92</v>
      </c>
      <c r="T79" s="5">
        <f>VLOOKUP(S79,'Team Hub'!$B$1:$F$65,4,false)</f>
        <v>150</v>
      </c>
      <c r="U79" s="5" t="str">
        <f>VLOOKUP(S79,'Team Hub'!$B$1:$F$65,5,false)</f>
        <v/>
      </c>
      <c r="V79" s="5" t="s">
        <v>75</v>
      </c>
      <c r="W79" s="5">
        <f>VLOOKUP(V79,'Team Hub'!$B$1:$F$65,4,false)</f>
        <v>0</v>
      </c>
      <c r="X79" s="5" t="str">
        <f>VLOOKUP(V79,'Team Hub'!$B$1:$F$65,5,false)</f>
        <v/>
      </c>
      <c r="Y79" s="5" t="s">
        <v>126</v>
      </c>
      <c r="Z79" s="5">
        <f>VLOOKUP(Y79,'Team Hub'!$B$1:$F$65,4,false)</f>
        <v>0</v>
      </c>
      <c r="AA79" s="4" t="str">
        <f>VLOOKUP(Y79,'Team Hub'!$B$1:$F$65,5,false)</f>
        <v/>
      </c>
      <c r="AB79" s="5" t="s">
        <v>94</v>
      </c>
      <c r="AC79" s="5">
        <f>VLOOKUP(AB79,'Team Hub'!$B$1:$F$65,4,false)</f>
        <v>180</v>
      </c>
      <c r="AD79" s="4" t="str">
        <f>VLOOKUP(AB79,'Team Hub'!$B$1:$F$65,5,false)</f>
        <v/>
      </c>
      <c r="AE79" s="5" t="s">
        <v>123</v>
      </c>
      <c r="AF79" s="5">
        <f>VLOOKUP(AE79,'Team Hub'!$B$1:$F$65,4,false)</f>
        <v>0</v>
      </c>
      <c r="AG79" s="4" t="str">
        <f>VLOOKUP(AE79,'Team Hub'!$B$1:$F$65,5,false)</f>
        <v/>
      </c>
      <c r="AH79" s="5" t="s">
        <v>86</v>
      </c>
      <c r="AI79" s="5">
        <f>VLOOKUP(AH79,'Team Hub'!$B$1:$F$65,4,false)</f>
        <v>200</v>
      </c>
      <c r="AJ79" s="4" t="str">
        <f>VLOOKUP(AH79,'Team Hub'!$B$1:$F$65,5,false)</f>
        <v/>
      </c>
      <c r="AK79" s="5" t="s">
        <v>138</v>
      </c>
      <c r="AL79" s="5">
        <f>VLOOKUP(AK79,'Team Hub'!$B$1:$F$65,4,false)</f>
        <v>0</v>
      </c>
      <c r="AM79" s="4" t="str">
        <f>VLOOKUP(AK79,'Team Hub'!$B$1:$F$65,5,false)</f>
        <v/>
      </c>
      <c r="AN79" s="5" t="s">
        <v>88</v>
      </c>
      <c r="AO79" s="5">
        <f>VLOOKUP(AN79,'Team Hub'!$B$1:$F$65,4,false)</f>
        <v>0</v>
      </c>
      <c r="AP79" s="4" t="str">
        <f>VLOOKUP(AN79,'Team Hub'!$B$1:$F$65,5,false)</f>
        <v/>
      </c>
      <c r="AQ79" s="5" t="s">
        <v>117</v>
      </c>
      <c r="AR79" s="5">
        <f>VLOOKUP(AQ79,'Team Hub'!$B$1:$F$65,4,false)</f>
        <v>0</v>
      </c>
      <c r="AS79" s="4" t="str">
        <f>VLOOKUP(AQ79,'Team Hub'!$B$1:$F$65,5,false)</f>
        <v/>
      </c>
      <c r="AT79" s="5" t="s">
        <v>105</v>
      </c>
      <c r="AU79" s="5">
        <f>VLOOKUP(AT79,'Team Hub'!$B$1:$F$65,4,false)</f>
        <v>0</v>
      </c>
      <c r="AV79" s="5" t="str">
        <f>VLOOKUP(AT79,'Team Hub'!$B$1:$F$65,5,false)</f>
        <v/>
      </c>
      <c r="AW79" s="5" t="s">
        <v>99</v>
      </c>
      <c r="AX79" s="5">
        <f>VLOOKUP(AW79,'Team Hub'!$B$1:$F$65,4,false)</f>
        <v>0</v>
      </c>
      <c r="AY79" s="4" t="str">
        <f>VLOOKUP(AW79,'Team Hub'!$B$1:$F$65,5,false)</f>
        <v/>
      </c>
      <c r="AZ79" s="4" t="s">
        <v>69</v>
      </c>
    </row>
    <row r="80" ht="22.5" customHeight="1">
      <c r="A80" s="4" t="s">
        <v>195</v>
      </c>
      <c r="B80" s="2">
        <f t="shared" ref="B80:C80" si="79">sum(E80+H80+K80+N80+Q80+T80+W80+Z80+AC80+AF80+AI80+AL80+AO80+AR80+AU80+AX80)</f>
        <v>2110</v>
      </c>
      <c r="C80" s="2">
        <f t="shared" si="79"/>
        <v>0</v>
      </c>
      <c r="D80" s="5" t="s">
        <v>91</v>
      </c>
      <c r="E80" s="5">
        <f>VLOOKUP(D80,'Team Hub'!$B$1:$F$65,4,false)</f>
        <v>400</v>
      </c>
      <c r="F80" s="4" t="str">
        <f>VLOOKUP(D80,'Team Hub'!$B$1:$F$65,5,false)</f>
        <v/>
      </c>
      <c r="G80" s="5" t="s">
        <v>109</v>
      </c>
      <c r="H80" s="5">
        <f>VLOOKUP(G80,'Team Hub'!$B$1:$F$65,4,false)</f>
        <v>110</v>
      </c>
      <c r="I80" s="4" t="str">
        <f>VLOOKUP(G80,'Team Hub'!$B$1:$F$65,5,false)</f>
        <v/>
      </c>
      <c r="J80" s="5" t="s">
        <v>101</v>
      </c>
      <c r="K80" s="5">
        <f>VLOOKUP(J80,'Team Hub'!$B$1:$F$65,4,false)</f>
        <v>120</v>
      </c>
      <c r="L80" s="4" t="str">
        <f>VLOOKUP(J80,'Team Hub'!$B$1:$F$65,5,false)</f>
        <v/>
      </c>
      <c r="M80" s="5" t="s">
        <v>97</v>
      </c>
      <c r="N80" s="5">
        <f>VLOOKUP(M80,'Team Hub'!$B$1:$F$65,4,false)</f>
        <v>260</v>
      </c>
      <c r="O80" s="5" t="str">
        <f>VLOOKUP(M80,'Team Hub'!$B$1:$F$65,5,false)</f>
        <v/>
      </c>
      <c r="P80" s="5" t="s">
        <v>132</v>
      </c>
      <c r="Q80" s="5">
        <f>VLOOKUP(P80,'Team Hub'!$B$1:$F$65,4,false)</f>
        <v>0</v>
      </c>
      <c r="R80" s="5" t="str">
        <f>VLOOKUP(P80,'Team Hub'!$B$1:$F$65,5,false)</f>
        <v/>
      </c>
      <c r="S80" s="5" t="s">
        <v>82</v>
      </c>
      <c r="T80" s="5">
        <f>VLOOKUP(S80,'Team Hub'!$B$1:$F$65,4,false)</f>
        <v>300</v>
      </c>
      <c r="U80" s="5" t="str">
        <f>VLOOKUP(S80,'Team Hub'!$B$1:$F$65,5,false)</f>
        <v/>
      </c>
      <c r="V80" s="5" t="s">
        <v>93</v>
      </c>
      <c r="W80" s="5">
        <f>VLOOKUP(V80,'Team Hub'!$B$1:$F$65,4,false)</f>
        <v>160</v>
      </c>
      <c r="X80" s="5" t="str">
        <f>VLOOKUP(V80,'Team Hub'!$B$1:$F$65,5,false)</f>
        <v/>
      </c>
      <c r="Y80" s="5" t="s">
        <v>76</v>
      </c>
      <c r="Z80" s="5">
        <f>VLOOKUP(Y80,'Team Hub'!$B$1:$F$65,4,false)</f>
        <v>170</v>
      </c>
      <c r="AA80" s="4" t="str">
        <f>VLOOKUP(Y80,'Team Hub'!$B$1:$F$65,5,false)</f>
        <v/>
      </c>
      <c r="AB80" s="5" t="s">
        <v>84</v>
      </c>
      <c r="AC80" s="5">
        <f>VLOOKUP(AB80,'Team Hub'!$B$1:$F$65,4,false)</f>
        <v>0</v>
      </c>
      <c r="AD80" s="4" t="str">
        <f>VLOOKUP(AB80,'Team Hub'!$B$1:$F$65,5,false)</f>
        <v/>
      </c>
      <c r="AE80" s="5" t="s">
        <v>62</v>
      </c>
      <c r="AF80" s="5">
        <f>VLOOKUP(AE80,'Team Hub'!$B$1:$F$65,4,false)</f>
        <v>380</v>
      </c>
      <c r="AG80" s="4" t="str">
        <f>VLOOKUP(AE80,'Team Hub'!$B$1:$F$65,5,false)</f>
        <v/>
      </c>
      <c r="AH80" s="5" t="s">
        <v>98</v>
      </c>
      <c r="AI80" s="5">
        <f>VLOOKUP(AH80,'Team Hub'!$B$1:$F$65,4,false)</f>
        <v>0</v>
      </c>
      <c r="AJ80" s="4" t="str">
        <f>VLOOKUP(AH80,'Team Hub'!$B$1:$F$65,5,false)</f>
        <v/>
      </c>
      <c r="AK80" s="5" t="s">
        <v>64</v>
      </c>
      <c r="AL80" s="5">
        <f>VLOOKUP(AK80,'Team Hub'!$B$1:$F$65,4,false)</f>
        <v>210</v>
      </c>
      <c r="AM80" s="4" t="str">
        <f>VLOOKUP(AK80,'Team Hub'!$B$1:$F$65,5,false)</f>
        <v/>
      </c>
      <c r="AN80" s="5" t="s">
        <v>77</v>
      </c>
      <c r="AO80" s="5">
        <f>VLOOKUP(AN80,'Team Hub'!$B$1:$F$65,4,false)</f>
        <v>0</v>
      </c>
      <c r="AP80" s="4" t="str">
        <f>VLOOKUP(AN80,'Team Hub'!$B$1:$F$65,5,false)</f>
        <v/>
      </c>
      <c r="AQ80" s="5" t="s">
        <v>66</v>
      </c>
      <c r="AR80" s="5">
        <f>VLOOKUP(AQ80,'Team Hub'!$B$1:$F$65,4,false)</f>
        <v>0</v>
      </c>
      <c r="AS80" s="4" t="str">
        <f>VLOOKUP(AQ80,'Team Hub'!$B$1:$F$65,5,false)</f>
        <v/>
      </c>
      <c r="AT80" s="5" t="s">
        <v>79</v>
      </c>
      <c r="AU80" s="5">
        <f>VLOOKUP(AT80,'Team Hub'!$B$1:$F$65,4,false)</f>
        <v>0</v>
      </c>
      <c r="AV80" s="4" t="str">
        <f>VLOOKUP(AT80,'Team Hub'!$B$1:$F$65,5,false)</f>
        <v/>
      </c>
      <c r="AW80" s="5" t="s">
        <v>68</v>
      </c>
      <c r="AX80" s="5">
        <f>VLOOKUP(AW80,'Team Hub'!$B$1:$F$65,4,false)</f>
        <v>0</v>
      </c>
      <c r="AY80" s="4" t="str">
        <f>VLOOKUP(AW80,'Team Hub'!$B$1:$F$65,5,false)</f>
        <v/>
      </c>
      <c r="AZ80" s="4" t="s">
        <v>69</v>
      </c>
    </row>
    <row r="81" ht="22.5" customHeight="1">
      <c r="A81" s="4" t="s">
        <v>196</v>
      </c>
      <c r="B81" s="2">
        <f t="shared" ref="B81:C81" si="80">sum(E81+H81+K81+N81+Q81+T81+W81+Z81+AC81+AF81+AI81+AL81+AO81+AR81+AU81+AX81)</f>
        <v>2080</v>
      </c>
      <c r="C81" s="2">
        <f t="shared" si="80"/>
        <v>0</v>
      </c>
      <c r="D81" s="5" t="s">
        <v>53</v>
      </c>
      <c r="E81" s="5">
        <f>VLOOKUP(D81,'Team Hub'!$B$1:$F$65,4,false)</f>
        <v>400</v>
      </c>
      <c r="F81" s="4" t="str">
        <f>VLOOKUP(D81,'Team Hub'!$B$1:$F$65,5,false)</f>
        <v/>
      </c>
      <c r="G81" s="5" t="s">
        <v>72</v>
      </c>
      <c r="H81" s="5">
        <f>VLOOKUP(G81,'Team Hub'!$B$1:$F$65,4,false)</f>
        <v>330</v>
      </c>
      <c r="I81" s="5" t="str">
        <f>VLOOKUP(G81,'Team Hub'!$B$1:$F$65,5,false)</f>
        <v/>
      </c>
      <c r="J81" s="5" t="s">
        <v>73</v>
      </c>
      <c r="K81" s="5">
        <f>VLOOKUP(J81,'Team Hub'!$B$1:$F$65,4,false)</f>
        <v>240</v>
      </c>
      <c r="L81" s="4" t="str">
        <f>VLOOKUP(J81,'Team Hub'!$B$1:$F$65,5,false)</f>
        <v/>
      </c>
      <c r="M81" s="5" t="s">
        <v>74</v>
      </c>
      <c r="N81" s="5">
        <f>VLOOKUP(M81,'Team Hub'!$B$1:$F$65,4,false)</f>
        <v>260</v>
      </c>
      <c r="O81" s="5" t="str">
        <f>VLOOKUP(M81,'Team Hub'!$B$1:$F$65,5,false)</f>
        <v/>
      </c>
      <c r="P81" s="5" t="s">
        <v>136</v>
      </c>
      <c r="Q81" s="5">
        <f>VLOOKUP(P81,'Team Hub'!$B$1:$F$65,4,false)</f>
        <v>0</v>
      </c>
      <c r="R81" s="5" t="str">
        <f>VLOOKUP(P81,'Team Hub'!$B$1:$F$65,5,false)</f>
        <v/>
      </c>
      <c r="S81" s="5" t="s">
        <v>82</v>
      </c>
      <c r="T81" s="5">
        <f>VLOOKUP(S81,'Team Hub'!$B$1:$F$65,4,false)</f>
        <v>300</v>
      </c>
      <c r="U81" s="5" t="str">
        <f>VLOOKUP(S81,'Team Hub'!$B$1:$F$65,5,false)</f>
        <v/>
      </c>
      <c r="V81" s="5" t="s">
        <v>59</v>
      </c>
      <c r="W81" s="5">
        <f>VLOOKUP(V81,'Team Hub'!$B$1:$F$65,4,false)</f>
        <v>160</v>
      </c>
      <c r="X81" s="5" t="str">
        <f>VLOOKUP(V81,'Team Hub'!$B$1:$F$65,5,false)</f>
        <v/>
      </c>
      <c r="Y81" s="5" t="s">
        <v>126</v>
      </c>
      <c r="Z81" s="5">
        <f>VLOOKUP(Y81,'Team Hub'!$B$1:$F$65,4,false)</f>
        <v>0</v>
      </c>
      <c r="AA81" s="4" t="str">
        <f>VLOOKUP(Y81,'Team Hub'!$B$1:$F$65,5,false)</f>
        <v/>
      </c>
      <c r="AB81" s="5" t="s">
        <v>94</v>
      </c>
      <c r="AC81" s="5">
        <f>VLOOKUP(AB81,'Team Hub'!$B$1:$F$65,4,false)</f>
        <v>180</v>
      </c>
      <c r="AD81" s="4" t="str">
        <f>VLOOKUP(AB81,'Team Hub'!$B$1:$F$65,5,false)</f>
        <v/>
      </c>
      <c r="AE81" s="5" t="s">
        <v>123</v>
      </c>
      <c r="AF81" s="5">
        <f>VLOOKUP(AE81,'Team Hub'!$B$1:$F$65,4,false)</f>
        <v>0</v>
      </c>
      <c r="AG81" s="4" t="str">
        <f>VLOOKUP(AE81,'Team Hub'!$B$1:$F$65,5,false)</f>
        <v/>
      </c>
      <c r="AH81" s="5" t="s">
        <v>98</v>
      </c>
      <c r="AI81" s="5">
        <f>VLOOKUP(AH81,'Team Hub'!$B$1:$F$65,4,false)</f>
        <v>0</v>
      </c>
      <c r="AJ81" s="4" t="str">
        <f>VLOOKUP(AH81,'Team Hub'!$B$1:$F$65,5,false)</f>
        <v/>
      </c>
      <c r="AK81" s="5" t="s">
        <v>64</v>
      </c>
      <c r="AL81" s="5">
        <f>VLOOKUP(AK81,'Team Hub'!$B$1:$F$65,4,false)</f>
        <v>210</v>
      </c>
      <c r="AM81" s="4" t="str">
        <f>VLOOKUP(AK81,'Team Hub'!$B$1:$F$65,5,false)</f>
        <v/>
      </c>
      <c r="AN81" s="5" t="s">
        <v>88</v>
      </c>
      <c r="AO81" s="5">
        <f>VLOOKUP(AN81,'Team Hub'!$B$1:$F$65,4,false)</f>
        <v>0</v>
      </c>
      <c r="AP81" s="4" t="str">
        <f>VLOOKUP(AN81,'Team Hub'!$B$1:$F$65,5,false)</f>
        <v/>
      </c>
      <c r="AQ81" s="5" t="s">
        <v>78</v>
      </c>
      <c r="AR81" s="5">
        <f>VLOOKUP(AQ81,'Team Hub'!$B$1:$F$65,4,false)</f>
        <v>0</v>
      </c>
      <c r="AS81" s="4" t="str">
        <f>VLOOKUP(AQ81,'Team Hub'!$B$1:$F$65,5,false)</f>
        <v/>
      </c>
      <c r="AT81" s="5" t="s">
        <v>105</v>
      </c>
      <c r="AU81" s="5">
        <f>VLOOKUP(AT81,'Team Hub'!$B$1:$F$65,4,false)</f>
        <v>0</v>
      </c>
      <c r="AV81" s="5" t="str">
        <f>VLOOKUP(AT81,'Team Hub'!$B$1:$F$65,5,false)</f>
        <v/>
      </c>
      <c r="AW81" s="5" t="s">
        <v>95</v>
      </c>
      <c r="AX81" s="5">
        <f>VLOOKUP(AW81,'Team Hub'!$B$1:$F$65,4,false)</f>
        <v>0</v>
      </c>
      <c r="AY81" s="4" t="str">
        <f>VLOOKUP(AW81,'Team Hub'!$B$1:$F$65,5,false)</f>
        <v/>
      </c>
      <c r="AZ81" s="4" t="s">
        <v>69</v>
      </c>
    </row>
    <row r="82" ht="22.5" customHeight="1">
      <c r="A82" s="4" t="s">
        <v>197</v>
      </c>
      <c r="B82" s="2">
        <f t="shared" ref="B82:C82" si="81">sum(E82+H82+K82+N82+Q82+T82+W82+Z82+AC82+AF82+AI82+AL82+AO82+AR82+AU82+AX82)</f>
        <v>2080</v>
      </c>
      <c r="C82" s="2">
        <f t="shared" si="81"/>
        <v>0</v>
      </c>
      <c r="D82" s="5" t="s">
        <v>53</v>
      </c>
      <c r="E82" s="5">
        <f>VLOOKUP(D82,'Team Hub'!$B$1:$F$65,4,false)</f>
        <v>400</v>
      </c>
      <c r="F82" s="4" t="str">
        <f>VLOOKUP(D82,'Team Hub'!$B$1:$F$65,5,false)</f>
        <v/>
      </c>
      <c r="G82" s="5" t="s">
        <v>81</v>
      </c>
      <c r="H82" s="5">
        <f>VLOOKUP(G82,'Team Hub'!$B$1:$F$65,4,false)</f>
        <v>330</v>
      </c>
      <c r="I82" s="4" t="str">
        <f>VLOOKUP(G82,'Team Hub'!$B$1:$F$65,5,false)</f>
        <v/>
      </c>
      <c r="J82" s="5" t="s">
        <v>101</v>
      </c>
      <c r="K82" s="5">
        <f>VLOOKUP(J82,'Team Hub'!$B$1:$F$65,4,false)</f>
        <v>120</v>
      </c>
      <c r="L82" s="4" t="str">
        <f>VLOOKUP(J82,'Team Hub'!$B$1:$F$65,5,false)</f>
        <v/>
      </c>
      <c r="M82" s="5" t="s">
        <v>97</v>
      </c>
      <c r="N82" s="5">
        <f>VLOOKUP(M82,'Team Hub'!$B$1:$F$65,4,false)</f>
        <v>260</v>
      </c>
      <c r="O82" s="5" t="str">
        <f>VLOOKUP(M82,'Team Hub'!$B$1:$F$65,5,false)</f>
        <v/>
      </c>
      <c r="P82" s="5" t="s">
        <v>57</v>
      </c>
      <c r="Q82" s="5">
        <f>VLOOKUP(P82,'Team Hub'!$B$1:$F$65,4,false)</f>
        <v>280</v>
      </c>
      <c r="R82" s="5" t="str">
        <f>VLOOKUP(P82,'Team Hub'!$B$1:$F$65,5,false)</f>
        <v/>
      </c>
      <c r="S82" s="5" t="s">
        <v>92</v>
      </c>
      <c r="T82" s="5">
        <f>VLOOKUP(S82,'Team Hub'!$B$1:$F$65,4,false)</f>
        <v>150</v>
      </c>
      <c r="U82" s="5" t="str">
        <f>VLOOKUP(S82,'Team Hub'!$B$1:$F$65,5,false)</f>
        <v/>
      </c>
      <c r="V82" s="5" t="s">
        <v>75</v>
      </c>
      <c r="W82" s="5">
        <f>VLOOKUP(V82,'Team Hub'!$B$1:$F$65,4,false)</f>
        <v>0</v>
      </c>
      <c r="X82" s="5" t="str">
        <f>VLOOKUP(V82,'Team Hub'!$B$1:$F$65,5,false)</f>
        <v/>
      </c>
      <c r="Y82" s="5" t="s">
        <v>76</v>
      </c>
      <c r="Z82" s="5">
        <f>VLOOKUP(Y82,'Team Hub'!$B$1:$F$65,4,false)</f>
        <v>170</v>
      </c>
      <c r="AA82" s="4" t="str">
        <f>VLOOKUP(Y82,'Team Hub'!$B$1:$F$65,5,false)</f>
        <v/>
      </c>
      <c r="AB82" s="5" t="s">
        <v>61</v>
      </c>
      <c r="AC82" s="5">
        <f>VLOOKUP(AB82,'Team Hub'!$B$1:$F$65,4,false)</f>
        <v>180</v>
      </c>
      <c r="AD82" s="4" t="str">
        <f>VLOOKUP(AB82,'Team Hub'!$B$1:$F$65,5,false)</f>
        <v/>
      </c>
      <c r="AE82" s="5" t="s">
        <v>85</v>
      </c>
      <c r="AF82" s="5">
        <f>VLOOKUP(AE82,'Team Hub'!$B$1:$F$65,4,false)</f>
        <v>190</v>
      </c>
      <c r="AG82" s="4" t="str">
        <f>VLOOKUP(AE82,'Team Hub'!$B$1:$F$65,5,false)</f>
        <v/>
      </c>
      <c r="AH82" s="5" t="s">
        <v>63</v>
      </c>
      <c r="AI82" s="5">
        <f>VLOOKUP(AH82,'Team Hub'!$B$1:$F$65,4,false)</f>
        <v>0</v>
      </c>
      <c r="AJ82" s="4" t="str">
        <f>VLOOKUP(AH82,'Team Hub'!$B$1:$F$65,5,false)</f>
        <v/>
      </c>
      <c r="AK82" s="5" t="s">
        <v>107</v>
      </c>
      <c r="AL82" s="5">
        <f>VLOOKUP(AK82,'Team Hub'!$B$1:$F$65,4,false)</f>
        <v>0</v>
      </c>
      <c r="AM82" s="4" t="str">
        <f>VLOOKUP(AK82,'Team Hub'!$B$1:$F$65,5,false)</f>
        <v/>
      </c>
      <c r="AN82" s="5" t="s">
        <v>88</v>
      </c>
      <c r="AO82" s="5">
        <f>VLOOKUP(AN82,'Team Hub'!$B$1:$F$65,4,false)</f>
        <v>0</v>
      </c>
      <c r="AP82" s="4" t="str">
        <f>VLOOKUP(AN82,'Team Hub'!$B$1:$F$65,5,false)</f>
        <v/>
      </c>
      <c r="AQ82" s="5" t="s">
        <v>78</v>
      </c>
      <c r="AR82" s="5">
        <f>VLOOKUP(AQ82,'Team Hub'!$B$1:$F$65,4,false)</f>
        <v>0</v>
      </c>
      <c r="AS82" s="4" t="str">
        <f>VLOOKUP(AQ82,'Team Hub'!$B$1:$F$65,5,false)</f>
        <v/>
      </c>
      <c r="AT82" s="5" t="s">
        <v>105</v>
      </c>
      <c r="AU82" s="5">
        <f>VLOOKUP(AT82,'Team Hub'!$B$1:$F$65,4,false)</f>
        <v>0</v>
      </c>
      <c r="AV82" s="5" t="str">
        <f>VLOOKUP(AT82,'Team Hub'!$B$1:$F$65,5,false)</f>
        <v/>
      </c>
      <c r="AW82" s="5" t="s">
        <v>99</v>
      </c>
      <c r="AX82" s="5">
        <f>VLOOKUP(AW82,'Team Hub'!$B$1:$F$65,4,false)</f>
        <v>0</v>
      </c>
      <c r="AY82" s="4" t="str">
        <f>VLOOKUP(AW82,'Team Hub'!$B$1:$F$65,5,false)</f>
        <v/>
      </c>
      <c r="AZ82" s="4" t="s">
        <v>69</v>
      </c>
    </row>
    <row r="83" ht="22.5" customHeight="1">
      <c r="A83" s="4" t="s">
        <v>198</v>
      </c>
      <c r="B83" s="2">
        <f t="shared" ref="B83:C83" si="82">sum(E83+H83+K83+N83+Q83+T83+W83+Z83+AC83+AF83+AI83+AL83+AO83+AR83+AU83+AX83)</f>
        <v>2080</v>
      </c>
      <c r="C83" s="2">
        <f t="shared" si="82"/>
        <v>0</v>
      </c>
      <c r="D83" s="5" t="s">
        <v>53</v>
      </c>
      <c r="E83" s="5">
        <f>VLOOKUP(D83,'Team Hub'!$B$1:$F$65,4,false)</f>
        <v>400</v>
      </c>
      <c r="F83" s="4" t="str">
        <f>VLOOKUP(D83,'Team Hub'!$B$1:$F$65,5,false)</f>
        <v/>
      </c>
      <c r="G83" s="5" t="s">
        <v>54</v>
      </c>
      <c r="H83" s="5">
        <f>VLOOKUP(G83,'Team Hub'!$B$1:$F$65,4,false)</f>
        <v>330</v>
      </c>
      <c r="I83" s="4" t="str">
        <f>VLOOKUP(G83,'Team Hub'!$B$1:$F$65,5,false)</f>
        <v/>
      </c>
      <c r="J83" s="5" t="s">
        <v>55</v>
      </c>
      <c r="K83" s="5">
        <f>VLOOKUP(J83,'Team Hub'!$B$1:$F$65,4,false)</f>
        <v>360</v>
      </c>
      <c r="L83" s="4" t="str">
        <f>VLOOKUP(J83,'Team Hub'!$B$1:$F$65,5,false)</f>
        <v/>
      </c>
      <c r="M83" s="5" t="s">
        <v>142</v>
      </c>
      <c r="N83" s="5">
        <f>VLOOKUP(M83,'Team Hub'!$B$1:$F$65,4,false)</f>
        <v>130</v>
      </c>
      <c r="O83" s="5" t="str">
        <f>VLOOKUP(M83,'Team Hub'!$B$1:$F$65,5,false)</f>
        <v/>
      </c>
      <c r="P83" s="5" t="s">
        <v>132</v>
      </c>
      <c r="Q83" s="5">
        <f>VLOOKUP(P83,'Team Hub'!$B$1:$F$65,4,false)</f>
        <v>0</v>
      </c>
      <c r="R83" s="5" t="str">
        <f>VLOOKUP(P83,'Team Hub'!$B$1:$F$65,5,false)</f>
        <v/>
      </c>
      <c r="S83" s="5" t="s">
        <v>82</v>
      </c>
      <c r="T83" s="5">
        <f>VLOOKUP(S83,'Team Hub'!$B$1:$F$65,4,false)</f>
        <v>300</v>
      </c>
      <c r="U83" s="5" t="str">
        <f>VLOOKUP(S83,'Team Hub'!$B$1:$F$65,5,false)</f>
        <v/>
      </c>
      <c r="V83" s="5" t="s">
        <v>83</v>
      </c>
      <c r="W83" s="5">
        <f>VLOOKUP(V83,'Team Hub'!$B$1:$F$65,4,false)</f>
        <v>0</v>
      </c>
      <c r="X83" s="5" t="str">
        <f>VLOOKUP(V83,'Team Hub'!$B$1:$F$65,5,false)</f>
        <v/>
      </c>
      <c r="Y83" s="5" t="s">
        <v>76</v>
      </c>
      <c r="Z83" s="5">
        <f>VLOOKUP(Y83,'Team Hub'!$B$1:$F$65,4,false)</f>
        <v>170</v>
      </c>
      <c r="AA83" s="4" t="str">
        <f>VLOOKUP(Y83,'Team Hub'!$B$1:$F$65,5,false)</f>
        <v/>
      </c>
      <c r="AB83" s="5" t="s">
        <v>61</v>
      </c>
      <c r="AC83" s="5">
        <f>VLOOKUP(AB83,'Team Hub'!$B$1:$F$65,4,false)</f>
        <v>180</v>
      </c>
      <c r="AD83" s="4" t="str">
        <f>VLOOKUP(AB83,'Team Hub'!$B$1:$F$65,5,false)</f>
        <v/>
      </c>
      <c r="AE83" s="5" t="s">
        <v>154</v>
      </c>
      <c r="AF83" s="5">
        <f>VLOOKUP(AE83,'Team Hub'!$B$1:$F$65,4,false)</f>
        <v>0</v>
      </c>
      <c r="AG83" s="4" t="str">
        <f>VLOOKUP(AE83,'Team Hub'!$B$1:$F$65,5,false)</f>
        <v/>
      </c>
      <c r="AH83" s="5" t="s">
        <v>98</v>
      </c>
      <c r="AI83" s="5">
        <f>VLOOKUP(AH83,'Team Hub'!$B$1:$F$65,4,false)</f>
        <v>0</v>
      </c>
      <c r="AJ83" s="4" t="str">
        <f>VLOOKUP(AH83,'Team Hub'!$B$1:$F$65,5,false)</f>
        <v/>
      </c>
      <c r="AK83" s="5" t="s">
        <v>64</v>
      </c>
      <c r="AL83" s="5">
        <f>VLOOKUP(AK83,'Team Hub'!$B$1:$F$65,4,false)</f>
        <v>210</v>
      </c>
      <c r="AM83" s="4" t="str">
        <f>VLOOKUP(AK83,'Team Hub'!$B$1:$F$65,5,false)</f>
        <v/>
      </c>
      <c r="AN83" s="5" t="s">
        <v>77</v>
      </c>
      <c r="AO83" s="5">
        <f>VLOOKUP(AN83,'Team Hub'!$B$1:$F$65,4,false)</f>
        <v>0</v>
      </c>
      <c r="AP83" s="4" t="str">
        <f>VLOOKUP(AN83,'Team Hub'!$B$1:$F$65,5,false)</f>
        <v/>
      </c>
      <c r="AQ83" s="5" t="s">
        <v>89</v>
      </c>
      <c r="AR83" s="5">
        <f>VLOOKUP(AQ83,'Team Hub'!$B$1:$F$65,4,false)</f>
        <v>0</v>
      </c>
      <c r="AS83" s="4" t="str">
        <f>VLOOKUP(AQ83,'Team Hub'!$B$1:$F$65,5,false)</f>
        <v/>
      </c>
      <c r="AT83" s="5" t="s">
        <v>79</v>
      </c>
      <c r="AU83" s="5">
        <f>VLOOKUP(AT83,'Team Hub'!$B$1:$F$65,4,false)</f>
        <v>0</v>
      </c>
      <c r="AV83" s="4" t="str">
        <f>VLOOKUP(AT83,'Team Hub'!$B$1:$F$65,5,false)</f>
        <v/>
      </c>
      <c r="AW83" s="5" t="s">
        <v>68</v>
      </c>
      <c r="AX83" s="5">
        <f>VLOOKUP(AW83,'Team Hub'!$B$1:$F$65,4,false)</f>
        <v>0</v>
      </c>
      <c r="AY83" s="4" t="str">
        <f>VLOOKUP(AW83,'Team Hub'!$B$1:$F$65,5,false)</f>
        <v/>
      </c>
      <c r="AZ83" s="4" t="s">
        <v>69</v>
      </c>
    </row>
    <row r="84" ht="22.5" customHeight="1">
      <c r="A84" s="4" t="s">
        <v>199</v>
      </c>
      <c r="B84" s="2">
        <f t="shared" ref="B84:C84" si="83">sum(E84+H84+K84+N84+Q84+T84+W84+Z84+AC84+AF84+AI84+AL84+AO84+AR84+AU84+AX84)</f>
        <v>2080</v>
      </c>
      <c r="C84" s="2">
        <f t="shared" si="83"/>
        <v>0</v>
      </c>
      <c r="D84" s="5" t="s">
        <v>125</v>
      </c>
      <c r="E84" s="5">
        <f>VLOOKUP(D84,'Team Hub'!$B$1:$F$65,4,false)</f>
        <v>500</v>
      </c>
      <c r="F84" s="4" t="str">
        <f>VLOOKUP(D84,'Team Hub'!$B$1:$F$65,5,false)</f>
        <v/>
      </c>
      <c r="G84" s="5" t="s">
        <v>72</v>
      </c>
      <c r="H84" s="5">
        <f>VLOOKUP(G84,'Team Hub'!$B$1:$F$65,4,false)</f>
        <v>330</v>
      </c>
      <c r="I84" s="5" t="str">
        <f>VLOOKUP(G84,'Team Hub'!$B$1:$F$65,5,false)</f>
        <v/>
      </c>
      <c r="J84" s="5" t="s">
        <v>101</v>
      </c>
      <c r="K84" s="5">
        <f>VLOOKUP(J84,'Team Hub'!$B$1:$F$65,4,false)</f>
        <v>120</v>
      </c>
      <c r="L84" s="4" t="str">
        <f>VLOOKUP(J84,'Team Hub'!$B$1:$F$65,5,false)</f>
        <v/>
      </c>
      <c r="M84" s="5" t="s">
        <v>56</v>
      </c>
      <c r="N84" s="5">
        <f>VLOOKUP(M84,'Team Hub'!$B$1:$F$65,4,false)</f>
        <v>260</v>
      </c>
      <c r="O84" s="5" t="str">
        <f>VLOOKUP(M84,'Team Hub'!$B$1:$F$65,5,false)</f>
        <v/>
      </c>
      <c r="P84" s="5" t="s">
        <v>132</v>
      </c>
      <c r="Q84" s="5">
        <f>VLOOKUP(P84,'Team Hub'!$B$1:$F$65,4,false)</f>
        <v>0</v>
      </c>
      <c r="R84" s="5" t="str">
        <f>VLOOKUP(P84,'Team Hub'!$B$1:$F$65,5,false)</f>
        <v/>
      </c>
      <c r="S84" s="5" t="s">
        <v>92</v>
      </c>
      <c r="T84" s="5">
        <f>VLOOKUP(S84,'Team Hub'!$B$1:$F$65,4,false)</f>
        <v>150</v>
      </c>
      <c r="U84" s="5" t="str">
        <f>VLOOKUP(S84,'Team Hub'!$B$1:$F$65,5,false)</f>
        <v/>
      </c>
      <c r="V84" s="5" t="s">
        <v>59</v>
      </c>
      <c r="W84" s="5">
        <f>VLOOKUP(V84,'Team Hub'!$B$1:$F$65,4,false)</f>
        <v>160</v>
      </c>
      <c r="X84" s="5" t="str">
        <f>VLOOKUP(V84,'Team Hub'!$B$1:$F$65,5,false)</f>
        <v/>
      </c>
      <c r="Y84" s="5" t="s">
        <v>76</v>
      </c>
      <c r="Z84" s="5">
        <f>VLOOKUP(Y84,'Team Hub'!$B$1:$F$65,4,false)</f>
        <v>170</v>
      </c>
      <c r="AA84" s="4" t="str">
        <f>VLOOKUP(Y84,'Team Hub'!$B$1:$F$65,5,false)</f>
        <v/>
      </c>
      <c r="AB84" s="5" t="s">
        <v>94</v>
      </c>
      <c r="AC84" s="5">
        <f>VLOOKUP(AB84,'Team Hub'!$B$1:$F$65,4,false)</f>
        <v>180</v>
      </c>
      <c r="AD84" s="4" t="str">
        <f>VLOOKUP(AB84,'Team Hub'!$B$1:$F$65,5,false)</f>
        <v/>
      </c>
      <c r="AE84" s="5" t="s">
        <v>123</v>
      </c>
      <c r="AF84" s="5">
        <f>VLOOKUP(AE84,'Team Hub'!$B$1:$F$65,4,false)</f>
        <v>0</v>
      </c>
      <c r="AG84" s="4" t="str">
        <f>VLOOKUP(AE84,'Team Hub'!$B$1:$F$65,5,false)</f>
        <v/>
      </c>
      <c r="AH84" s="5" t="s">
        <v>116</v>
      </c>
      <c r="AI84" s="5">
        <f>VLOOKUP(AH84,'Team Hub'!$B$1:$F$65,4,false)</f>
        <v>0</v>
      </c>
      <c r="AJ84" s="4" t="str">
        <f>VLOOKUP(AH84,'Team Hub'!$B$1:$F$65,5,false)</f>
        <v/>
      </c>
      <c r="AK84" s="5" t="s">
        <v>64</v>
      </c>
      <c r="AL84" s="5">
        <f>VLOOKUP(AK84,'Team Hub'!$B$1:$F$65,4,false)</f>
        <v>210</v>
      </c>
      <c r="AM84" s="4" t="str">
        <f>VLOOKUP(AK84,'Team Hub'!$B$1:$F$65,5,false)</f>
        <v/>
      </c>
      <c r="AN84" s="5" t="s">
        <v>88</v>
      </c>
      <c r="AO84" s="5">
        <f>VLOOKUP(AN84,'Team Hub'!$B$1:$F$65,4,false)</f>
        <v>0</v>
      </c>
      <c r="AP84" s="4" t="str">
        <f>VLOOKUP(AN84,'Team Hub'!$B$1:$F$65,5,false)</f>
        <v/>
      </c>
      <c r="AQ84" s="5" t="s">
        <v>117</v>
      </c>
      <c r="AR84" s="5">
        <f>VLOOKUP(AQ84,'Team Hub'!$B$1:$F$65,4,false)</f>
        <v>0</v>
      </c>
      <c r="AS84" s="4" t="str">
        <f>VLOOKUP(AQ84,'Team Hub'!$B$1:$F$65,5,false)</f>
        <v/>
      </c>
      <c r="AT84" s="5" t="s">
        <v>129</v>
      </c>
      <c r="AU84" s="5">
        <f>VLOOKUP(AT84,'Team Hub'!$B$1:$F$65,4,false)</f>
        <v>0</v>
      </c>
      <c r="AV84" s="4" t="str">
        <f>VLOOKUP(AT84,'Team Hub'!$B$1:$F$65,5,false)</f>
        <v/>
      </c>
      <c r="AW84" s="5" t="s">
        <v>103</v>
      </c>
      <c r="AX84" s="5">
        <f>VLOOKUP(AW84,'Team Hub'!$B$1:$F$65,4,false)</f>
        <v>0</v>
      </c>
      <c r="AY84" s="4" t="str">
        <f>VLOOKUP(AW84,'Team Hub'!$B$1:$F$65,5,false)</f>
        <v/>
      </c>
      <c r="AZ84" s="4" t="s">
        <v>69</v>
      </c>
    </row>
    <row r="85" ht="22.5" customHeight="1">
      <c r="A85" s="4" t="s">
        <v>200</v>
      </c>
      <c r="B85" s="2">
        <f t="shared" ref="B85:C85" si="84">sum(E85+H85+K85+N85+Q85+T85+W85+Z85+AC85+AF85+AI85+AL85+AO85+AR85+AU85+AX85)</f>
        <v>2070</v>
      </c>
      <c r="C85" s="2">
        <f t="shared" si="84"/>
        <v>0</v>
      </c>
      <c r="D85" s="5" t="s">
        <v>125</v>
      </c>
      <c r="E85" s="5">
        <f>VLOOKUP(D85,'Team Hub'!$B$1:$F$65,4,false)</f>
        <v>500</v>
      </c>
      <c r="F85" s="4" t="str">
        <f>VLOOKUP(D85,'Team Hub'!$B$1:$F$65,5,false)</f>
        <v/>
      </c>
      <c r="G85" s="5" t="s">
        <v>81</v>
      </c>
      <c r="H85" s="5">
        <f>VLOOKUP(G85,'Team Hub'!$B$1:$F$65,4,false)</f>
        <v>330</v>
      </c>
      <c r="I85" s="4" t="str">
        <f>VLOOKUP(G85,'Team Hub'!$B$1:$F$65,5,false)</f>
        <v/>
      </c>
      <c r="J85" s="5" t="s">
        <v>101</v>
      </c>
      <c r="K85" s="5">
        <f>VLOOKUP(J85,'Team Hub'!$B$1:$F$65,4,false)</f>
        <v>120</v>
      </c>
      <c r="L85" s="4" t="str">
        <f>VLOOKUP(J85,'Team Hub'!$B$1:$F$65,5,false)</f>
        <v/>
      </c>
      <c r="M85" s="5" t="s">
        <v>97</v>
      </c>
      <c r="N85" s="5">
        <f>VLOOKUP(M85,'Team Hub'!$B$1:$F$65,4,false)</f>
        <v>260</v>
      </c>
      <c r="O85" s="5" t="str">
        <f>VLOOKUP(M85,'Team Hub'!$B$1:$F$65,5,false)</f>
        <v/>
      </c>
      <c r="P85" s="5" t="s">
        <v>136</v>
      </c>
      <c r="Q85" s="5">
        <f>VLOOKUP(P85,'Team Hub'!$B$1:$F$65,4,false)</f>
        <v>0</v>
      </c>
      <c r="R85" s="5" t="str">
        <f>VLOOKUP(P85,'Team Hub'!$B$1:$F$65,5,false)</f>
        <v/>
      </c>
      <c r="S85" s="5" t="s">
        <v>92</v>
      </c>
      <c r="T85" s="5">
        <f>VLOOKUP(S85,'Team Hub'!$B$1:$F$65,4,false)</f>
        <v>150</v>
      </c>
      <c r="U85" s="5" t="str">
        <f>VLOOKUP(S85,'Team Hub'!$B$1:$F$65,5,false)</f>
        <v/>
      </c>
      <c r="V85" s="5" t="s">
        <v>93</v>
      </c>
      <c r="W85" s="5">
        <f>VLOOKUP(V85,'Team Hub'!$B$1:$F$65,4,false)</f>
        <v>160</v>
      </c>
      <c r="X85" s="5" t="str">
        <f>VLOOKUP(V85,'Team Hub'!$B$1:$F$65,5,false)</f>
        <v/>
      </c>
      <c r="Y85" s="5" t="s">
        <v>60</v>
      </c>
      <c r="Z85" s="5">
        <f>VLOOKUP(Y85,'Team Hub'!$B$1:$F$65,4,false)</f>
        <v>170</v>
      </c>
      <c r="AA85" s="4" t="str">
        <f>VLOOKUP(Y85,'Team Hub'!$B$1:$F$65,5,false)</f>
        <v/>
      </c>
      <c r="AB85" s="5" t="s">
        <v>94</v>
      </c>
      <c r="AC85" s="5">
        <f>VLOOKUP(AB85,'Team Hub'!$B$1:$F$65,4,false)</f>
        <v>180</v>
      </c>
      <c r="AD85" s="4" t="str">
        <f>VLOOKUP(AB85,'Team Hub'!$B$1:$F$65,5,false)</f>
        <v/>
      </c>
      <c r="AE85" s="5" t="s">
        <v>123</v>
      </c>
      <c r="AF85" s="5">
        <f>VLOOKUP(AE85,'Team Hub'!$B$1:$F$65,4,false)</f>
        <v>0</v>
      </c>
      <c r="AG85" s="4" t="str">
        <f>VLOOKUP(AE85,'Team Hub'!$B$1:$F$65,5,false)</f>
        <v/>
      </c>
      <c r="AH85" s="5" t="s">
        <v>86</v>
      </c>
      <c r="AI85" s="5">
        <f>VLOOKUP(AH85,'Team Hub'!$B$1:$F$65,4,false)</f>
        <v>200</v>
      </c>
      <c r="AJ85" s="4" t="str">
        <f>VLOOKUP(AH85,'Team Hub'!$B$1:$F$65,5,false)</f>
        <v/>
      </c>
      <c r="AK85" s="5" t="s">
        <v>107</v>
      </c>
      <c r="AL85" s="5">
        <f>VLOOKUP(AK85,'Team Hub'!$B$1:$F$65,4,false)</f>
        <v>0</v>
      </c>
      <c r="AM85" s="4" t="str">
        <f>VLOOKUP(AK85,'Team Hub'!$B$1:$F$65,5,false)</f>
        <v/>
      </c>
      <c r="AN85" s="5" t="s">
        <v>88</v>
      </c>
      <c r="AO85" s="5">
        <f>VLOOKUP(AN85,'Team Hub'!$B$1:$F$65,4,false)</f>
        <v>0</v>
      </c>
      <c r="AP85" s="4" t="str">
        <f>VLOOKUP(AN85,'Team Hub'!$B$1:$F$65,5,false)</f>
        <v/>
      </c>
      <c r="AQ85" s="5" t="s">
        <v>78</v>
      </c>
      <c r="AR85" s="5">
        <f>VLOOKUP(AQ85,'Team Hub'!$B$1:$F$65,4,false)</f>
        <v>0</v>
      </c>
      <c r="AS85" s="4" t="str">
        <f>VLOOKUP(AQ85,'Team Hub'!$B$1:$F$65,5,false)</f>
        <v/>
      </c>
      <c r="AT85" s="5" t="s">
        <v>67</v>
      </c>
      <c r="AU85" s="5">
        <f>VLOOKUP(AT85,'Team Hub'!$B$1:$F$65,4,false)</f>
        <v>0</v>
      </c>
      <c r="AV85" s="4" t="str">
        <f>VLOOKUP(AT85,'Team Hub'!$B$1:$F$65,5,false)</f>
        <v/>
      </c>
      <c r="AW85" s="5" t="s">
        <v>99</v>
      </c>
      <c r="AX85" s="5">
        <f>VLOOKUP(AW85,'Team Hub'!$B$1:$F$65,4,false)</f>
        <v>0</v>
      </c>
      <c r="AY85" s="4" t="str">
        <f>VLOOKUP(AW85,'Team Hub'!$B$1:$F$65,5,false)</f>
        <v/>
      </c>
      <c r="AZ85" s="4" t="s">
        <v>69</v>
      </c>
    </row>
    <row r="86" ht="22.5" customHeight="1">
      <c r="A86" s="4" t="s">
        <v>201</v>
      </c>
      <c r="B86" s="2">
        <f t="shared" ref="B86:C86" si="85">sum(E86+H86+K86+N86+Q86+T86+W86+Z86+AC86+AF86+AI86+AL86+AO86+AR86+AU86+AX86)</f>
        <v>2060</v>
      </c>
      <c r="C86" s="2">
        <f t="shared" si="85"/>
        <v>0</v>
      </c>
      <c r="D86" s="5" t="s">
        <v>91</v>
      </c>
      <c r="E86" s="5">
        <f>VLOOKUP(D86,'Team Hub'!$B$1:$F$65,4,false)</f>
        <v>400</v>
      </c>
      <c r="F86" s="4" t="str">
        <f>VLOOKUP(D86,'Team Hub'!$B$1:$F$65,5,false)</f>
        <v/>
      </c>
      <c r="G86" s="5" t="s">
        <v>81</v>
      </c>
      <c r="H86" s="5">
        <f>VLOOKUP(G86,'Team Hub'!$B$1:$F$65,4,false)</f>
        <v>330</v>
      </c>
      <c r="I86" s="4" t="str">
        <f>VLOOKUP(G86,'Team Hub'!$B$1:$F$65,5,false)</f>
        <v/>
      </c>
      <c r="J86" s="5" t="s">
        <v>101</v>
      </c>
      <c r="K86" s="5">
        <f>VLOOKUP(J86,'Team Hub'!$B$1:$F$65,4,false)</f>
        <v>120</v>
      </c>
      <c r="L86" s="4" t="str">
        <f>VLOOKUP(J86,'Team Hub'!$B$1:$F$65,5,false)</f>
        <v/>
      </c>
      <c r="M86" s="5" t="s">
        <v>97</v>
      </c>
      <c r="N86" s="5">
        <f>VLOOKUP(M86,'Team Hub'!$B$1:$F$65,4,false)</f>
        <v>260</v>
      </c>
      <c r="O86" s="5" t="str">
        <f>VLOOKUP(M86,'Team Hub'!$B$1:$F$65,5,false)</f>
        <v/>
      </c>
      <c r="P86" s="5" t="s">
        <v>57</v>
      </c>
      <c r="Q86" s="5">
        <f>VLOOKUP(P86,'Team Hub'!$B$1:$F$65,4,false)</f>
        <v>280</v>
      </c>
      <c r="R86" s="5" t="str">
        <f>VLOOKUP(P86,'Team Hub'!$B$1:$F$65,5,false)</f>
        <v/>
      </c>
      <c r="S86" s="5" t="s">
        <v>92</v>
      </c>
      <c r="T86" s="5">
        <f>VLOOKUP(S86,'Team Hub'!$B$1:$F$65,4,false)</f>
        <v>150</v>
      </c>
      <c r="U86" s="5" t="str">
        <f>VLOOKUP(S86,'Team Hub'!$B$1:$F$65,5,false)</f>
        <v/>
      </c>
      <c r="V86" s="5" t="s">
        <v>59</v>
      </c>
      <c r="W86" s="5">
        <f>VLOOKUP(V86,'Team Hub'!$B$1:$F$65,4,false)</f>
        <v>160</v>
      </c>
      <c r="X86" s="5" t="str">
        <f>VLOOKUP(V86,'Team Hub'!$B$1:$F$65,5,false)</f>
        <v/>
      </c>
      <c r="Y86" s="5" t="s">
        <v>76</v>
      </c>
      <c r="Z86" s="5">
        <f>VLOOKUP(Y86,'Team Hub'!$B$1:$F$65,4,false)</f>
        <v>170</v>
      </c>
      <c r="AA86" s="4" t="str">
        <f>VLOOKUP(Y86,'Team Hub'!$B$1:$F$65,5,false)</f>
        <v/>
      </c>
      <c r="AB86" s="5" t="s">
        <v>114</v>
      </c>
      <c r="AC86" s="5">
        <f>VLOOKUP(AB86,'Team Hub'!$B$1:$F$65,4,false)</f>
        <v>0</v>
      </c>
      <c r="AD86" s="4" t="str">
        <f>VLOOKUP(AB86,'Team Hub'!$B$1:$F$65,5,false)</f>
        <v/>
      </c>
      <c r="AE86" s="5" t="s">
        <v>85</v>
      </c>
      <c r="AF86" s="5">
        <f>VLOOKUP(AE86,'Team Hub'!$B$1:$F$65,4,false)</f>
        <v>190</v>
      </c>
      <c r="AG86" s="4" t="str">
        <f>VLOOKUP(AE86,'Team Hub'!$B$1:$F$65,5,false)</f>
        <v/>
      </c>
      <c r="AH86" s="5" t="s">
        <v>98</v>
      </c>
      <c r="AI86" s="5">
        <f>VLOOKUP(AH86,'Team Hub'!$B$1:$F$65,4,false)</f>
        <v>0</v>
      </c>
      <c r="AJ86" s="4" t="str">
        <f>VLOOKUP(AH86,'Team Hub'!$B$1:$F$65,5,false)</f>
        <v/>
      </c>
      <c r="AK86" s="5" t="s">
        <v>107</v>
      </c>
      <c r="AL86" s="5">
        <f>VLOOKUP(AK86,'Team Hub'!$B$1:$F$65,4,false)</f>
        <v>0</v>
      </c>
      <c r="AM86" s="4" t="str">
        <f>VLOOKUP(AK86,'Team Hub'!$B$1:$F$65,5,false)</f>
        <v/>
      </c>
      <c r="AN86" s="5" t="s">
        <v>88</v>
      </c>
      <c r="AO86" s="5">
        <f>VLOOKUP(AN86,'Team Hub'!$B$1:$F$65,4,false)</f>
        <v>0</v>
      </c>
      <c r="AP86" s="4" t="str">
        <f>VLOOKUP(AN86,'Team Hub'!$B$1:$F$65,5,false)</f>
        <v/>
      </c>
      <c r="AQ86" s="5" t="s">
        <v>117</v>
      </c>
      <c r="AR86" s="5">
        <f>VLOOKUP(AQ86,'Team Hub'!$B$1:$F$65,4,false)</f>
        <v>0</v>
      </c>
      <c r="AS86" s="4" t="str">
        <f>VLOOKUP(AQ86,'Team Hub'!$B$1:$F$65,5,false)</f>
        <v/>
      </c>
      <c r="AT86" s="5" t="s">
        <v>79</v>
      </c>
      <c r="AU86" s="5">
        <f>VLOOKUP(AT86,'Team Hub'!$B$1:$F$65,4,false)</f>
        <v>0</v>
      </c>
      <c r="AV86" s="4" t="str">
        <f>VLOOKUP(AT86,'Team Hub'!$B$1:$F$65,5,false)</f>
        <v/>
      </c>
      <c r="AW86" s="5" t="s">
        <v>103</v>
      </c>
      <c r="AX86" s="5">
        <f>VLOOKUP(AW86,'Team Hub'!$B$1:$F$65,4,false)</f>
        <v>0</v>
      </c>
      <c r="AY86" s="4" t="str">
        <f>VLOOKUP(AW86,'Team Hub'!$B$1:$F$65,5,false)</f>
        <v/>
      </c>
      <c r="AZ86" s="4" t="s">
        <v>69</v>
      </c>
    </row>
    <row r="87" ht="22.5" customHeight="1">
      <c r="A87" s="4" t="s">
        <v>202</v>
      </c>
      <c r="B87" s="2">
        <f t="shared" ref="B87:C87" si="86">sum(E87+H87+K87+N87+Q87+T87+W87+Z87+AC87+AF87+AI87+AL87+AO87+AR87+AU87+AX87)</f>
        <v>2050</v>
      </c>
      <c r="C87" s="2">
        <f t="shared" si="86"/>
        <v>0</v>
      </c>
      <c r="D87" s="5" t="s">
        <v>53</v>
      </c>
      <c r="E87" s="5">
        <f>VLOOKUP(D87,'Team Hub'!$B$1:$F$65,4,false)</f>
        <v>400</v>
      </c>
      <c r="F87" s="4" t="str">
        <f>VLOOKUP(D87,'Team Hub'!$B$1:$F$65,5,false)</f>
        <v/>
      </c>
      <c r="G87" s="5" t="s">
        <v>54</v>
      </c>
      <c r="H87" s="5">
        <f>VLOOKUP(G87,'Team Hub'!$B$1:$F$65,4,false)</f>
        <v>330</v>
      </c>
      <c r="I87" s="4" t="str">
        <f>VLOOKUP(G87,'Team Hub'!$B$1:$F$65,5,false)</f>
        <v/>
      </c>
      <c r="J87" s="5" t="s">
        <v>55</v>
      </c>
      <c r="K87" s="5">
        <f>VLOOKUP(J87,'Team Hub'!$B$1:$F$65,4,false)</f>
        <v>360</v>
      </c>
      <c r="L87" s="4" t="str">
        <f>VLOOKUP(J87,'Team Hub'!$B$1:$F$65,5,false)</f>
        <v/>
      </c>
      <c r="M87" s="5" t="s">
        <v>97</v>
      </c>
      <c r="N87" s="5">
        <f>VLOOKUP(M87,'Team Hub'!$B$1:$F$65,4,false)</f>
        <v>260</v>
      </c>
      <c r="O87" s="5" t="str">
        <f>VLOOKUP(M87,'Team Hub'!$B$1:$F$65,5,false)</f>
        <v/>
      </c>
      <c r="P87" s="5" t="s">
        <v>132</v>
      </c>
      <c r="Q87" s="5">
        <f>VLOOKUP(P87,'Team Hub'!$B$1:$F$65,4,false)</f>
        <v>0</v>
      </c>
      <c r="R87" s="5" t="str">
        <f>VLOOKUP(P87,'Team Hub'!$B$1:$F$65,5,false)</f>
        <v/>
      </c>
      <c r="S87" s="5" t="s">
        <v>113</v>
      </c>
      <c r="T87" s="5">
        <f>VLOOKUP(S87,'Team Hub'!$B$1:$F$65,4,false)</f>
        <v>0</v>
      </c>
      <c r="U87" s="5" t="str">
        <f>VLOOKUP(S87,'Team Hub'!$B$1:$F$65,5,false)</f>
        <v/>
      </c>
      <c r="V87" s="5" t="s">
        <v>93</v>
      </c>
      <c r="W87" s="5">
        <f>VLOOKUP(V87,'Team Hub'!$B$1:$F$65,4,false)</f>
        <v>160</v>
      </c>
      <c r="X87" s="5" t="str">
        <f>VLOOKUP(V87,'Team Hub'!$B$1:$F$65,5,false)</f>
        <v/>
      </c>
      <c r="Y87" s="5" t="s">
        <v>76</v>
      </c>
      <c r="Z87" s="5">
        <f>VLOOKUP(Y87,'Team Hub'!$B$1:$F$65,4,false)</f>
        <v>170</v>
      </c>
      <c r="AA87" s="4" t="str">
        <f>VLOOKUP(Y87,'Team Hub'!$B$1:$F$65,5,false)</f>
        <v/>
      </c>
      <c r="AB87" s="5" t="s">
        <v>94</v>
      </c>
      <c r="AC87" s="5">
        <f>VLOOKUP(AB87,'Team Hub'!$B$1:$F$65,4,false)</f>
        <v>180</v>
      </c>
      <c r="AD87" s="4" t="str">
        <f>VLOOKUP(AB87,'Team Hub'!$B$1:$F$65,5,false)</f>
        <v/>
      </c>
      <c r="AE87" s="5" t="s">
        <v>85</v>
      </c>
      <c r="AF87" s="5">
        <f>VLOOKUP(AE87,'Team Hub'!$B$1:$F$65,4,false)</f>
        <v>190</v>
      </c>
      <c r="AG87" s="4" t="str">
        <f>VLOOKUP(AE87,'Team Hub'!$B$1:$F$65,5,false)</f>
        <v/>
      </c>
      <c r="AH87" s="5" t="s">
        <v>116</v>
      </c>
      <c r="AI87" s="5">
        <f>VLOOKUP(AH87,'Team Hub'!$B$1:$F$65,4,false)</f>
        <v>0</v>
      </c>
      <c r="AJ87" s="4" t="str">
        <f>VLOOKUP(AH87,'Team Hub'!$B$1:$F$65,5,false)</f>
        <v/>
      </c>
      <c r="AK87" s="5" t="s">
        <v>107</v>
      </c>
      <c r="AL87" s="5">
        <f>VLOOKUP(AK87,'Team Hub'!$B$1:$F$65,4,false)</f>
        <v>0</v>
      </c>
      <c r="AM87" s="4" t="str">
        <f>VLOOKUP(AK87,'Team Hub'!$B$1:$F$65,5,false)</f>
        <v/>
      </c>
      <c r="AN87" s="5" t="s">
        <v>77</v>
      </c>
      <c r="AO87" s="5">
        <f>VLOOKUP(AN87,'Team Hub'!$B$1:$F$65,4,false)</f>
        <v>0</v>
      </c>
      <c r="AP87" s="4" t="str">
        <f>VLOOKUP(AN87,'Team Hub'!$B$1:$F$65,5,false)</f>
        <v/>
      </c>
      <c r="AQ87" s="5" t="s">
        <v>89</v>
      </c>
      <c r="AR87" s="5">
        <f>VLOOKUP(AQ87,'Team Hub'!$B$1:$F$65,4,false)</f>
        <v>0</v>
      </c>
      <c r="AS87" s="4" t="str">
        <f>VLOOKUP(AQ87,'Team Hub'!$B$1:$F$65,5,false)</f>
        <v/>
      </c>
      <c r="AT87" s="5" t="s">
        <v>79</v>
      </c>
      <c r="AU87" s="5">
        <f>VLOOKUP(AT87,'Team Hub'!$B$1:$F$65,4,false)</f>
        <v>0</v>
      </c>
      <c r="AV87" s="4" t="str">
        <f>VLOOKUP(AT87,'Team Hub'!$B$1:$F$65,5,false)</f>
        <v/>
      </c>
      <c r="AW87" s="5" t="s">
        <v>68</v>
      </c>
      <c r="AX87" s="5">
        <f>VLOOKUP(AW87,'Team Hub'!$B$1:$F$65,4,false)</f>
        <v>0</v>
      </c>
      <c r="AY87" s="4" t="str">
        <f>VLOOKUP(AW87,'Team Hub'!$B$1:$F$65,5,false)</f>
        <v/>
      </c>
      <c r="AZ87" s="4" t="s">
        <v>69</v>
      </c>
    </row>
    <row r="88" ht="22.5" customHeight="1">
      <c r="A88" s="4" t="s">
        <v>203</v>
      </c>
      <c r="B88" s="2">
        <f t="shared" ref="B88:C88" si="87">sum(E88+H88+K88+N88+Q88+T88+W88+Z88+AC88+AF88+AI88+AL88+AO88+AR88+AU88+AX88)</f>
        <v>2040</v>
      </c>
      <c r="C88" s="2">
        <f t="shared" si="87"/>
        <v>0</v>
      </c>
      <c r="D88" s="5" t="s">
        <v>53</v>
      </c>
      <c r="E88" s="5">
        <f>VLOOKUP(D88,'Team Hub'!$B$1:$F$65,4,false)</f>
        <v>400</v>
      </c>
      <c r="F88" s="4" t="str">
        <f>VLOOKUP(D88,'Team Hub'!$B$1:$F$65,5,false)</f>
        <v/>
      </c>
      <c r="G88" s="5" t="s">
        <v>81</v>
      </c>
      <c r="H88" s="5">
        <f>VLOOKUP(G88,'Team Hub'!$B$1:$F$65,4,false)</f>
        <v>330</v>
      </c>
      <c r="I88" s="4" t="str">
        <f>VLOOKUP(G88,'Team Hub'!$B$1:$F$65,5,false)</f>
        <v/>
      </c>
      <c r="J88" s="5" t="s">
        <v>55</v>
      </c>
      <c r="K88" s="5">
        <f>VLOOKUP(J88,'Team Hub'!$B$1:$F$65,4,false)</f>
        <v>360</v>
      </c>
      <c r="L88" s="4" t="str">
        <f>VLOOKUP(J88,'Team Hub'!$B$1:$F$65,5,false)</f>
        <v/>
      </c>
      <c r="M88" s="5" t="s">
        <v>56</v>
      </c>
      <c r="N88" s="5">
        <f>VLOOKUP(M88,'Team Hub'!$B$1:$F$65,4,false)</f>
        <v>260</v>
      </c>
      <c r="O88" s="5" t="str">
        <f>VLOOKUP(M88,'Team Hub'!$B$1:$F$65,5,false)</f>
        <v/>
      </c>
      <c r="P88" s="5" t="s">
        <v>132</v>
      </c>
      <c r="Q88" s="5">
        <f>VLOOKUP(P88,'Team Hub'!$B$1:$F$65,4,false)</f>
        <v>0</v>
      </c>
      <c r="R88" s="5" t="str">
        <f>VLOOKUP(P88,'Team Hub'!$B$1:$F$65,5,false)</f>
        <v/>
      </c>
      <c r="S88" s="5" t="s">
        <v>82</v>
      </c>
      <c r="T88" s="5">
        <f>VLOOKUP(S88,'Team Hub'!$B$1:$F$65,4,false)</f>
        <v>300</v>
      </c>
      <c r="U88" s="5" t="str">
        <f>VLOOKUP(S88,'Team Hub'!$B$1:$F$65,5,false)</f>
        <v/>
      </c>
      <c r="V88" s="5" t="s">
        <v>83</v>
      </c>
      <c r="W88" s="5">
        <f>VLOOKUP(V88,'Team Hub'!$B$1:$F$65,4,false)</f>
        <v>0</v>
      </c>
      <c r="X88" s="5" t="str">
        <f>VLOOKUP(V88,'Team Hub'!$B$1:$F$65,5,false)</f>
        <v/>
      </c>
      <c r="Y88" s="5" t="s">
        <v>126</v>
      </c>
      <c r="Z88" s="5">
        <f>VLOOKUP(Y88,'Team Hub'!$B$1:$F$65,4,false)</f>
        <v>0</v>
      </c>
      <c r="AA88" s="4" t="str">
        <f>VLOOKUP(Y88,'Team Hub'!$B$1:$F$65,5,false)</f>
        <v/>
      </c>
      <c r="AB88" s="5" t="s">
        <v>94</v>
      </c>
      <c r="AC88" s="5">
        <f>VLOOKUP(AB88,'Team Hub'!$B$1:$F$65,4,false)</f>
        <v>180</v>
      </c>
      <c r="AD88" s="4" t="str">
        <f>VLOOKUP(AB88,'Team Hub'!$B$1:$F$65,5,false)</f>
        <v/>
      </c>
      <c r="AE88" s="5" t="s">
        <v>123</v>
      </c>
      <c r="AF88" s="5">
        <f>VLOOKUP(AE88,'Team Hub'!$B$1:$F$65,4,false)</f>
        <v>0</v>
      </c>
      <c r="AG88" s="4" t="str">
        <f>VLOOKUP(AE88,'Team Hub'!$B$1:$F$65,5,false)</f>
        <v/>
      </c>
      <c r="AH88" s="5" t="s">
        <v>98</v>
      </c>
      <c r="AI88" s="5">
        <f>VLOOKUP(AH88,'Team Hub'!$B$1:$F$65,4,false)</f>
        <v>0</v>
      </c>
      <c r="AJ88" s="4" t="str">
        <f>VLOOKUP(AH88,'Team Hub'!$B$1:$F$65,5,false)</f>
        <v/>
      </c>
      <c r="AK88" s="5" t="s">
        <v>64</v>
      </c>
      <c r="AL88" s="5">
        <f>VLOOKUP(AK88,'Team Hub'!$B$1:$F$65,4,false)</f>
        <v>210</v>
      </c>
      <c r="AM88" s="4" t="str">
        <f>VLOOKUP(AK88,'Team Hub'!$B$1:$F$65,5,false)</f>
        <v/>
      </c>
      <c r="AN88" s="5" t="s">
        <v>77</v>
      </c>
      <c r="AO88" s="5">
        <f>VLOOKUP(AN88,'Team Hub'!$B$1:$F$65,4,false)</f>
        <v>0</v>
      </c>
      <c r="AP88" s="4" t="str">
        <f>VLOOKUP(AN88,'Team Hub'!$B$1:$F$65,5,false)</f>
        <v/>
      </c>
      <c r="AQ88" s="5" t="s">
        <v>66</v>
      </c>
      <c r="AR88" s="5">
        <f>VLOOKUP(AQ88,'Team Hub'!$B$1:$F$65,4,false)</f>
        <v>0</v>
      </c>
      <c r="AS88" s="4" t="str">
        <f>VLOOKUP(AQ88,'Team Hub'!$B$1:$F$65,5,false)</f>
        <v/>
      </c>
      <c r="AT88" s="5" t="s">
        <v>67</v>
      </c>
      <c r="AU88" s="5">
        <f>VLOOKUP(AT88,'Team Hub'!$B$1:$F$65,4,false)</f>
        <v>0</v>
      </c>
      <c r="AV88" s="4" t="str">
        <f>VLOOKUP(AT88,'Team Hub'!$B$1:$F$65,5,false)</f>
        <v/>
      </c>
      <c r="AW88" s="5" t="s">
        <v>68</v>
      </c>
      <c r="AX88" s="5">
        <f>VLOOKUP(AW88,'Team Hub'!$B$1:$F$65,4,false)</f>
        <v>0</v>
      </c>
      <c r="AY88" s="4" t="str">
        <f>VLOOKUP(AW88,'Team Hub'!$B$1:$F$65,5,false)</f>
        <v/>
      </c>
      <c r="AZ88" s="4" t="s">
        <v>69</v>
      </c>
    </row>
    <row r="89" ht="22.5" customHeight="1">
      <c r="A89" s="4" t="s">
        <v>204</v>
      </c>
      <c r="B89" s="2">
        <f t="shared" ref="B89:C89" si="88">sum(E89+H89+K89+N89+Q89+T89+W89+Z89+AC89+AF89+AI89+AL89+AO89+AR89+AU89+AX89)</f>
        <v>2040</v>
      </c>
      <c r="C89" s="2">
        <f t="shared" si="88"/>
        <v>0</v>
      </c>
      <c r="D89" s="5" t="s">
        <v>53</v>
      </c>
      <c r="E89" s="5">
        <f>VLOOKUP(D89,'Team Hub'!$B$1:$F$65,4,false)</f>
        <v>400</v>
      </c>
      <c r="F89" s="4" t="str">
        <f>VLOOKUP(D89,'Team Hub'!$B$1:$F$65,5,false)</f>
        <v/>
      </c>
      <c r="G89" s="5" t="s">
        <v>109</v>
      </c>
      <c r="H89" s="5">
        <f>VLOOKUP(G89,'Team Hub'!$B$1:$F$65,4,false)</f>
        <v>110</v>
      </c>
      <c r="I89" s="4" t="str">
        <f>VLOOKUP(G89,'Team Hub'!$B$1:$F$65,5,false)</f>
        <v/>
      </c>
      <c r="J89" s="5" t="s">
        <v>73</v>
      </c>
      <c r="K89" s="5">
        <f>VLOOKUP(J89,'Team Hub'!$B$1:$F$65,4,false)</f>
        <v>240</v>
      </c>
      <c r="L89" s="4" t="str">
        <f>VLOOKUP(J89,'Team Hub'!$B$1:$F$65,5,false)</f>
        <v/>
      </c>
      <c r="M89" s="5" t="s">
        <v>56</v>
      </c>
      <c r="N89" s="5">
        <f>VLOOKUP(M89,'Team Hub'!$B$1:$F$65,4,false)</f>
        <v>260</v>
      </c>
      <c r="O89" s="5" t="str">
        <f>VLOOKUP(M89,'Team Hub'!$B$1:$F$65,5,false)</f>
        <v/>
      </c>
      <c r="P89" s="5" t="s">
        <v>132</v>
      </c>
      <c r="Q89" s="5">
        <f>VLOOKUP(P89,'Team Hub'!$B$1:$F$65,4,false)</f>
        <v>0</v>
      </c>
      <c r="R89" s="5" t="str">
        <f>VLOOKUP(P89,'Team Hub'!$B$1:$F$65,5,false)</f>
        <v/>
      </c>
      <c r="S89" s="5" t="s">
        <v>82</v>
      </c>
      <c r="T89" s="5">
        <f>VLOOKUP(S89,'Team Hub'!$B$1:$F$65,4,false)</f>
        <v>300</v>
      </c>
      <c r="U89" s="5" t="str">
        <f>VLOOKUP(S89,'Team Hub'!$B$1:$F$65,5,false)</f>
        <v/>
      </c>
      <c r="V89" s="5" t="s">
        <v>75</v>
      </c>
      <c r="W89" s="5">
        <f>VLOOKUP(V89,'Team Hub'!$B$1:$F$65,4,false)</f>
        <v>0</v>
      </c>
      <c r="X89" s="5" t="str">
        <f>VLOOKUP(V89,'Team Hub'!$B$1:$F$65,5,false)</f>
        <v/>
      </c>
      <c r="Y89" s="5" t="s">
        <v>60</v>
      </c>
      <c r="Z89" s="5">
        <f>VLOOKUP(Y89,'Team Hub'!$B$1:$F$65,4,false)</f>
        <v>170</v>
      </c>
      <c r="AA89" s="4" t="str">
        <f>VLOOKUP(Y89,'Team Hub'!$B$1:$F$65,5,false)</f>
        <v/>
      </c>
      <c r="AB89" s="5" t="s">
        <v>61</v>
      </c>
      <c r="AC89" s="5">
        <f>VLOOKUP(AB89,'Team Hub'!$B$1:$F$65,4,false)</f>
        <v>180</v>
      </c>
      <c r="AD89" s="4" t="str">
        <f>VLOOKUP(AB89,'Team Hub'!$B$1:$F$65,5,false)</f>
        <v/>
      </c>
      <c r="AE89" s="5" t="s">
        <v>62</v>
      </c>
      <c r="AF89" s="5">
        <f>VLOOKUP(AE89,'Team Hub'!$B$1:$F$65,4,false)</f>
        <v>380</v>
      </c>
      <c r="AG89" s="4" t="str">
        <f>VLOOKUP(AE89,'Team Hub'!$B$1:$F$65,5,false)</f>
        <v/>
      </c>
      <c r="AH89" s="5" t="s">
        <v>63</v>
      </c>
      <c r="AI89" s="5">
        <f>VLOOKUP(AH89,'Team Hub'!$B$1:$F$65,4,false)</f>
        <v>0</v>
      </c>
      <c r="AJ89" s="4" t="str">
        <f>VLOOKUP(AH89,'Team Hub'!$B$1:$F$65,5,false)</f>
        <v/>
      </c>
      <c r="AK89" s="5" t="s">
        <v>107</v>
      </c>
      <c r="AL89" s="5">
        <f>VLOOKUP(AK89,'Team Hub'!$B$1:$F$65,4,false)</f>
        <v>0</v>
      </c>
      <c r="AM89" s="4" t="str">
        <f>VLOOKUP(AK89,'Team Hub'!$B$1:$F$65,5,false)</f>
        <v/>
      </c>
      <c r="AN89" s="5" t="s">
        <v>77</v>
      </c>
      <c r="AO89" s="5">
        <f>VLOOKUP(AN89,'Team Hub'!$B$1:$F$65,4,false)</f>
        <v>0</v>
      </c>
      <c r="AP89" s="4" t="str">
        <f>VLOOKUP(AN89,'Team Hub'!$B$1:$F$65,5,false)</f>
        <v/>
      </c>
      <c r="AQ89" s="5" t="s">
        <v>78</v>
      </c>
      <c r="AR89" s="5">
        <f>VLOOKUP(AQ89,'Team Hub'!$B$1:$F$65,4,false)</f>
        <v>0</v>
      </c>
      <c r="AS89" s="4" t="str">
        <f>VLOOKUP(AQ89,'Team Hub'!$B$1:$F$65,5,false)</f>
        <v/>
      </c>
      <c r="AT89" s="5" t="s">
        <v>129</v>
      </c>
      <c r="AU89" s="5">
        <f>VLOOKUP(AT89,'Team Hub'!$B$1:$F$65,4,false)</f>
        <v>0</v>
      </c>
      <c r="AV89" s="4" t="str">
        <f>VLOOKUP(AT89,'Team Hub'!$B$1:$F$65,5,false)</f>
        <v/>
      </c>
      <c r="AW89" s="5" t="s">
        <v>95</v>
      </c>
      <c r="AX89" s="5">
        <f>VLOOKUP(AW89,'Team Hub'!$B$1:$F$65,4,false)</f>
        <v>0</v>
      </c>
      <c r="AY89" s="4" t="str">
        <f>VLOOKUP(AW89,'Team Hub'!$B$1:$F$65,5,false)</f>
        <v/>
      </c>
      <c r="AZ89" s="4" t="s">
        <v>69</v>
      </c>
    </row>
    <row r="90" ht="22.5" customHeight="1">
      <c r="A90" s="4" t="s">
        <v>205</v>
      </c>
      <c r="B90" s="2">
        <f t="shared" ref="B90:C90" si="89">sum(E90+H90+K90+N90+Q90+T90+W90+Z90+AC90+AF90+AI90+AL90+AO90+AR90+AU90+AX90)</f>
        <v>2030</v>
      </c>
      <c r="C90" s="2">
        <f t="shared" si="89"/>
        <v>0</v>
      </c>
      <c r="D90" s="5" t="s">
        <v>125</v>
      </c>
      <c r="E90" s="5">
        <f>VLOOKUP(D90,'Team Hub'!$B$1:$F$65,4,false)</f>
        <v>500</v>
      </c>
      <c r="F90" s="4" t="str">
        <f>VLOOKUP(D90,'Team Hub'!$B$1:$F$65,5,false)</f>
        <v/>
      </c>
      <c r="G90" s="5" t="s">
        <v>109</v>
      </c>
      <c r="H90" s="5">
        <f>VLOOKUP(G90,'Team Hub'!$B$1:$F$65,4,false)</f>
        <v>110</v>
      </c>
      <c r="I90" s="4" t="str">
        <f>VLOOKUP(G90,'Team Hub'!$B$1:$F$65,5,false)</f>
        <v/>
      </c>
      <c r="J90" s="5" t="s">
        <v>101</v>
      </c>
      <c r="K90" s="5">
        <f>VLOOKUP(J90,'Team Hub'!$B$1:$F$65,4,false)</f>
        <v>120</v>
      </c>
      <c r="L90" s="4" t="str">
        <f>VLOOKUP(J90,'Team Hub'!$B$1:$F$65,5,false)</f>
        <v/>
      </c>
      <c r="M90" s="5" t="s">
        <v>97</v>
      </c>
      <c r="N90" s="5">
        <f>VLOOKUP(M90,'Team Hub'!$B$1:$F$65,4,false)</f>
        <v>260</v>
      </c>
      <c r="O90" s="5" t="str">
        <f>VLOOKUP(M90,'Team Hub'!$B$1:$F$65,5,false)</f>
        <v/>
      </c>
      <c r="P90" s="5" t="s">
        <v>132</v>
      </c>
      <c r="Q90" s="5">
        <f>VLOOKUP(P90,'Team Hub'!$B$1:$F$65,4,false)</f>
        <v>0</v>
      </c>
      <c r="R90" s="5" t="str">
        <f>VLOOKUP(P90,'Team Hub'!$B$1:$F$65,5,false)</f>
        <v/>
      </c>
      <c r="S90" s="5" t="s">
        <v>92</v>
      </c>
      <c r="T90" s="5">
        <f>VLOOKUP(S90,'Team Hub'!$B$1:$F$65,4,false)</f>
        <v>150</v>
      </c>
      <c r="U90" s="5" t="str">
        <f>VLOOKUP(S90,'Team Hub'!$B$1:$F$65,5,false)</f>
        <v/>
      </c>
      <c r="V90" s="5" t="s">
        <v>59</v>
      </c>
      <c r="W90" s="5">
        <f>VLOOKUP(V90,'Team Hub'!$B$1:$F$65,4,false)</f>
        <v>160</v>
      </c>
      <c r="X90" s="5" t="str">
        <f>VLOOKUP(V90,'Team Hub'!$B$1:$F$65,5,false)</f>
        <v/>
      </c>
      <c r="Y90" s="5" t="s">
        <v>60</v>
      </c>
      <c r="Z90" s="5">
        <f>VLOOKUP(Y90,'Team Hub'!$B$1:$F$65,4,false)</f>
        <v>170</v>
      </c>
      <c r="AA90" s="4" t="str">
        <f>VLOOKUP(Y90,'Team Hub'!$B$1:$F$65,5,false)</f>
        <v/>
      </c>
      <c r="AB90" s="5" t="s">
        <v>61</v>
      </c>
      <c r="AC90" s="5">
        <f>VLOOKUP(AB90,'Team Hub'!$B$1:$F$65,4,false)</f>
        <v>180</v>
      </c>
      <c r="AD90" s="4" t="str">
        <f>VLOOKUP(AB90,'Team Hub'!$B$1:$F$65,5,false)</f>
        <v/>
      </c>
      <c r="AE90" s="5" t="s">
        <v>62</v>
      </c>
      <c r="AF90" s="5">
        <f>VLOOKUP(AE90,'Team Hub'!$B$1:$F$65,4,false)</f>
        <v>380</v>
      </c>
      <c r="AG90" s="4" t="str">
        <f>VLOOKUP(AE90,'Team Hub'!$B$1:$F$65,5,false)</f>
        <v/>
      </c>
      <c r="AH90" s="5" t="s">
        <v>98</v>
      </c>
      <c r="AI90" s="5">
        <f>VLOOKUP(AH90,'Team Hub'!$B$1:$F$65,4,false)</f>
        <v>0</v>
      </c>
      <c r="AJ90" s="4" t="str">
        <f>VLOOKUP(AH90,'Team Hub'!$B$1:$F$65,5,false)</f>
        <v/>
      </c>
      <c r="AK90" s="5" t="s">
        <v>107</v>
      </c>
      <c r="AL90" s="5">
        <f>VLOOKUP(AK90,'Team Hub'!$B$1:$F$65,4,false)</f>
        <v>0</v>
      </c>
      <c r="AM90" s="4" t="str">
        <f>VLOOKUP(AK90,'Team Hub'!$B$1:$F$65,5,false)</f>
        <v/>
      </c>
      <c r="AN90" s="5" t="s">
        <v>88</v>
      </c>
      <c r="AO90" s="5">
        <f>VLOOKUP(AN90,'Team Hub'!$B$1:$F$65,4,false)</f>
        <v>0</v>
      </c>
      <c r="AP90" s="4" t="str">
        <f>VLOOKUP(AN90,'Team Hub'!$B$1:$F$65,5,false)</f>
        <v/>
      </c>
      <c r="AQ90" s="5" t="s">
        <v>117</v>
      </c>
      <c r="AR90" s="5">
        <f>VLOOKUP(AQ90,'Team Hub'!$B$1:$F$65,4,false)</f>
        <v>0</v>
      </c>
      <c r="AS90" s="4" t="str">
        <f>VLOOKUP(AQ90,'Team Hub'!$B$1:$F$65,5,false)</f>
        <v/>
      </c>
      <c r="AT90" s="5" t="s">
        <v>79</v>
      </c>
      <c r="AU90" s="5">
        <f>VLOOKUP(AT90,'Team Hub'!$B$1:$F$65,4,false)</f>
        <v>0</v>
      </c>
      <c r="AV90" s="4" t="str">
        <f>VLOOKUP(AT90,'Team Hub'!$B$1:$F$65,5,false)</f>
        <v/>
      </c>
      <c r="AW90" s="5" t="s">
        <v>103</v>
      </c>
      <c r="AX90" s="5">
        <f>VLOOKUP(AW90,'Team Hub'!$B$1:$F$65,4,false)</f>
        <v>0</v>
      </c>
      <c r="AY90" s="4" t="str">
        <f>VLOOKUP(AW90,'Team Hub'!$B$1:$F$65,5,false)</f>
        <v/>
      </c>
      <c r="AZ90" s="4" t="s">
        <v>69</v>
      </c>
    </row>
    <row r="91" ht="22.5" customHeight="1">
      <c r="A91" s="4" t="s">
        <v>206</v>
      </c>
      <c r="B91" s="2">
        <f t="shared" ref="B91:C91" si="90">sum(E91+H91+K91+N91+Q91+T91+W91+Z91+AC91+AF91+AI91+AL91+AO91+AR91+AU91+AX91)</f>
        <v>2020</v>
      </c>
      <c r="C91" s="2">
        <f t="shared" si="90"/>
        <v>0</v>
      </c>
      <c r="D91" s="5" t="s">
        <v>91</v>
      </c>
      <c r="E91" s="5">
        <f>VLOOKUP(D91,'Team Hub'!$B$1:$F$65,4,false)</f>
        <v>400</v>
      </c>
      <c r="F91" s="4" t="str">
        <f>VLOOKUP(D91,'Team Hub'!$B$1:$F$65,5,false)</f>
        <v/>
      </c>
      <c r="G91" s="5" t="s">
        <v>54</v>
      </c>
      <c r="H91" s="5">
        <f>VLOOKUP(G91,'Team Hub'!$B$1:$F$65,4,false)</f>
        <v>330</v>
      </c>
      <c r="I91" s="4" t="str">
        <f>VLOOKUP(G91,'Team Hub'!$B$1:$F$65,5,false)</f>
        <v/>
      </c>
      <c r="J91" s="5" t="s">
        <v>55</v>
      </c>
      <c r="K91" s="5">
        <f>VLOOKUP(J91,'Team Hub'!$B$1:$F$65,4,false)</f>
        <v>360</v>
      </c>
      <c r="L91" s="4" t="str">
        <f>VLOOKUP(J91,'Team Hub'!$B$1:$F$65,5,false)</f>
        <v/>
      </c>
      <c r="M91" s="5" t="s">
        <v>56</v>
      </c>
      <c r="N91" s="5">
        <f>VLOOKUP(M91,'Team Hub'!$B$1:$F$65,4,false)</f>
        <v>260</v>
      </c>
      <c r="O91" s="5" t="str">
        <f>VLOOKUP(M91,'Team Hub'!$B$1:$F$65,5,false)</f>
        <v/>
      </c>
      <c r="P91" s="5" t="s">
        <v>57</v>
      </c>
      <c r="Q91" s="5">
        <f>VLOOKUP(P91,'Team Hub'!$B$1:$F$65,4,false)</f>
        <v>280</v>
      </c>
      <c r="R91" s="5" t="str">
        <f>VLOOKUP(P91,'Team Hub'!$B$1:$F$65,5,false)</f>
        <v/>
      </c>
      <c r="S91" s="5" t="s">
        <v>113</v>
      </c>
      <c r="T91" s="5">
        <f>VLOOKUP(S91,'Team Hub'!$B$1:$F$65,4,false)</f>
        <v>0</v>
      </c>
      <c r="U91" s="5" t="str">
        <f>VLOOKUP(S91,'Team Hub'!$B$1:$F$65,5,false)</f>
        <v/>
      </c>
      <c r="V91" s="5" t="s">
        <v>75</v>
      </c>
      <c r="W91" s="5">
        <f>VLOOKUP(V91,'Team Hub'!$B$1:$F$65,4,false)</f>
        <v>0</v>
      </c>
      <c r="X91" s="5" t="str">
        <f>VLOOKUP(V91,'Team Hub'!$B$1:$F$65,5,false)</f>
        <v/>
      </c>
      <c r="Y91" s="5" t="s">
        <v>126</v>
      </c>
      <c r="Z91" s="5">
        <f>VLOOKUP(Y91,'Team Hub'!$B$1:$F$65,4,false)</f>
        <v>0</v>
      </c>
      <c r="AA91" s="4" t="str">
        <f>VLOOKUP(Y91,'Team Hub'!$B$1:$F$65,5,false)</f>
        <v/>
      </c>
      <c r="AB91" s="5" t="s">
        <v>61</v>
      </c>
      <c r="AC91" s="5">
        <f>VLOOKUP(AB91,'Team Hub'!$B$1:$F$65,4,false)</f>
        <v>180</v>
      </c>
      <c r="AD91" s="4" t="str">
        <f>VLOOKUP(AB91,'Team Hub'!$B$1:$F$65,5,false)</f>
        <v/>
      </c>
      <c r="AE91" s="5" t="s">
        <v>154</v>
      </c>
      <c r="AF91" s="5">
        <f>VLOOKUP(AE91,'Team Hub'!$B$1:$F$65,4,false)</f>
        <v>0</v>
      </c>
      <c r="AG91" s="4" t="str">
        <f>VLOOKUP(AE91,'Team Hub'!$B$1:$F$65,5,false)</f>
        <v/>
      </c>
      <c r="AH91" s="5" t="s">
        <v>98</v>
      </c>
      <c r="AI91" s="5">
        <f>VLOOKUP(AH91,'Team Hub'!$B$1:$F$65,4,false)</f>
        <v>0</v>
      </c>
      <c r="AJ91" s="4" t="str">
        <f>VLOOKUP(AH91,'Team Hub'!$B$1:$F$65,5,false)</f>
        <v/>
      </c>
      <c r="AK91" s="5" t="s">
        <v>64</v>
      </c>
      <c r="AL91" s="5">
        <f>VLOOKUP(AK91,'Team Hub'!$B$1:$F$65,4,false)</f>
        <v>210</v>
      </c>
      <c r="AM91" s="4" t="str">
        <f>VLOOKUP(AK91,'Team Hub'!$B$1:$F$65,5,false)</f>
        <v/>
      </c>
      <c r="AN91" s="5" t="s">
        <v>88</v>
      </c>
      <c r="AO91" s="5">
        <f>VLOOKUP(AN91,'Team Hub'!$B$1:$F$65,4,false)</f>
        <v>0</v>
      </c>
      <c r="AP91" s="4" t="str">
        <f>VLOOKUP(AN91,'Team Hub'!$B$1:$F$65,5,false)</f>
        <v/>
      </c>
      <c r="AQ91" s="5" t="s">
        <v>66</v>
      </c>
      <c r="AR91" s="5">
        <f>VLOOKUP(AQ91,'Team Hub'!$B$1:$F$65,4,false)</f>
        <v>0</v>
      </c>
      <c r="AS91" s="4" t="str">
        <f>VLOOKUP(AQ91,'Team Hub'!$B$1:$F$65,5,false)</f>
        <v/>
      </c>
      <c r="AT91" s="5" t="s">
        <v>105</v>
      </c>
      <c r="AU91" s="5">
        <f>VLOOKUP(AT91,'Team Hub'!$B$1:$F$65,4,false)</f>
        <v>0</v>
      </c>
      <c r="AV91" s="5" t="str">
        <f>VLOOKUP(AT91,'Team Hub'!$B$1:$F$65,5,false)</f>
        <v/>
      </c>
      <c r="AW91" s="5" t="s">
        <v>95</v>
      </c>
      <c r="AX91" s="5">
        <f>VLOOKUP(AW91,'Team Hub'!$B$1:$F$65,4,false)</f>
        <v>0</v>
      </c>
      <c r="AY91" s="4" t="str">
        <f>VLOOKUP(AW91,'Team Hub'!$B$1:$F$65,5,false)</f>
        <v/>
      </c>
      <c r="AZ91" s="4" t="s">
        <v>69</v>
      </c>
    </row>
    <row r="92" ht="22.5" customHeight="1">
      <c r="A92" s="4" t="s">
        <v>207</v>
      </c>
      <c r="B92" s="2">
        <f t="shared" ref="B92:C92" si="91">sum(E92+H92+K92+N92+Q92+T92+W92+Z92+AC92+AF92+AI92+AL92+AO92+AR92+AU92+AX92)</f>
        <v>2020</v>
      </c>
      <c r="C92" s="2">
        <f t="shared" si="91"/>
        <v>1</v>
      </c>
      <c r="D92" s="4" t="s">
        <v>71</v>
      </c>
      <c r="E92" s="4">
        <f>VLOOKUP(D92,'Team Hub'!$B$1:$F$65,4,false)</f>
        <v>600</v>
      </c>
      <c r="F92" s="4">
        <f>VLOOKUP(D92,'Team Hub'!$B$1:$F$65,5,false)</f>
        <v>1</v>
      </c>
      <c r="G92" s="5" t="s">
        <v>54</v>
      </c>
      <c r="H92" s="5">
        <f>VLOOKUP(G92,'Team Hub'!$B$1:$F$65,4,false)</f>
        <v>330</v>
      </c>
      <c r="I92" s="4" t="str">
        <f>VLOOKUP(G92,'Team Hub'!$B$1:$F$65,5,false)</f>
        <v/>
      </c>
      <c r="J92" s="5" t="s">
        <v>121</v>
      </c>
      <c r="K92" s="5">
        <f>VLOOKUP(J92,'Team Hub'!$B$1:$F$65,4,false)</f>
        <v>120</v>
      </c>
      <c r="L92" s="4" t="str">
        <f>VLOOKUP(J92,'Team Hub'!$B$1:$F$65,5,false)</f>
        <v/>
      </c>
      <c r="M92" s="5" t="s">
        <v>56</v>
      </c>
      <c r="N92" s="5">
        <f>VLOOKUP(M92,'Team Hub'!$B$1:$F$65,4,false)</f>
        <v>260</v>
      </c>
      <c r="O92" s="5" t="str">
        <f>VLOOKUP(M92,'Team Hub'!$B$1:$F$65,5,false)</f>
        <v/>
      </c>
      <c r="P92" s="5" t="s">
        <v>132</v>
      </c>
      <c r="Q92" s="5">
        <f>VLOOKUP(P92,'Team Hub'!$B$1:$F$65,4,false)</f>
        <v>0</v>
      </c>
      <c r="R92" s="5" t="str">
        <f>VLOOKUP(P92,'Team Hub'!$B$1:$F$65,5,false)</f>
        <v/>
      </c>
      <c r="S92" s="5" t="s">
        <v>92</v>
      </c>
      <c r="T92" s="5">
        <f>VLOOKUP(S92,'Team Hub'!$B$1:$F$65,4,false)</f>
        <v>150</v>
      </c>
      <c r="U92" s="5" t="str">
        <f>VLOOKUP(S92,'Team Hub'!$B$1:$F$65,5,false)</f>
        <v/>
      </c>
      <c r="V92" s="5" t="s">
        <v>83</v>
      </c>
      <c r="W92" s="5">
        <f>VLOOKUP(V92,'Team Hub'!$B$1:$F$65,4,false)</f>
        <v>0</v>
      </c>
      <c r="X92" s="5" t="str">
        <f>VLOOKUP(V92,'Team Hub'!$B$1:$F$65,5,false)</f>
        <v/>
      </c>
      <c r="Y92" s="5" t="s">
        <v>76</v>
      </c>
      <c r="Z92" s="5">
        <f>VLOOKUP(Y92,'Team Hub'!$B$1:$F$65,4,false)</f>
        <v>170</v>
      </c>
      <c r="AA92" s="4" t="str">
        <f>VLOOKUP(Y92,'Team Hub'!$B$1:$F$65,5,false)</f>
        <v/>
      </c>
      <c r="AB92" s="5" t="s">
        <v>61</v>
      </c>
      <c r="AC92" s="5">
        <f>VLOOKUP(AB92,'Team Hub'!$B$1:$F$65,4,false)</f>
        <v>180</v>
      </c>
      <c r="AD92" s="4" t="str">
        <f>VLOOKUP(AB92,'Team Hub'!$B$1:$F$65,5,false)</f>
        <v/>
      </c>
      <c r="AE92" s="5" t="s">
        <v>123</v>
      </c>
      <c r="AF92" s="5">
        <f>VLOOKUP(AE92,'Team Hub'!$B$1:$F$65,4,false)</f>
        <v>0</v>
      </c>
      <c r="AG92" s="4" t="str">
        <f>VLOOKUP(AE92,'Team Hub'!$B$1:$F$65,5,false)</f>
        <v/>
      </c>
      <c r="AH92" s="5" t="s">
        <v>116</v>
      </c>
      <c r="AI92" s="5">
        <f>VLOOKUP(AH92,'Team Hub'!$B$1:$F$65,4,false)</f>
        <v>0</v>
      </c>
      <c r="AJ92" s="4" t="str">
        <f>VLOOKUP(AH92,'Team Hub'!$B$1:$F$65,5,false)</f>
        <v/>
      </c>
      <c r="AK92" s="5" t="s">
        <v>64</v>
      </c>
      <c r="AL92" s="5">
        <f>VLOOKUP(AK92,'Team Hub'!$B$1:$F$65,4,false)</f>
        <v>210</v>
      </c>
      <c r="AM92" s="4" t="str">
        <f>VLOOKUP(AK92,'Team Hub'!$B$1:$F$65,5,false)</f>
        <v/>
      </c>
      <c r="AN92" s="5" t="s">
        <v>88</v>
      </c>
      <c r="AO92" s="5">
        <f>VLOOKUP(AN92,'Team Hub'!$B$1:$F$65,4,false)</f>
        <v>0</v>
      </c>
      <c r="AP92" s="4" t="str">
        <f>VLOOKUP(AN92,'Team Hub'!$B$1:$F$65,5,false)</f>
        <v/>
      </c>
      <c r="AQ92" s="5" t="s">
        <v>66</v>
      </c>
      <c r="AR92" s="5">
        <f>VLOOKUP(AQ92,'Team Hub'!$B$1:$F$65,4,false)</f>
        <v>0</v>
      </c>
      <c r="AS92" s="4" t="str">
        <f>VLOOKUP(AQ92,'Team Hub'!$B$1:$F$65,5,false)</f>
        <v/>
      </c>
      <c r="AT92" s="5" t="s">
        <v>67</v>
      </c>
      <c r="AU92" s="5">
        <f>VLOOKUP(AT92,'Team Hub'!$B$1:$F$65,4,false)</f>
        <v>0</v>
      </c>
      <c r="AV92" s="4" t="str">
        <f>VLOOKUP(AT92,'Team Hub'!$B$1:$F$65,5,false)</f>
        <v/>
      </c>
      <c r="AW92" s="5" t="s">
        <v>95</v>
      </c>
      <c r="AX92" s="5">
        <f>VLOOKUP(AW92,'Team Hub'!$B$1:$F$65,4,false)</f>
        <v>0</v>
      </c>
      <c r="AY92" s="4" t="str">
        <f>VLOOKUP(AW92,'Team Hub'!$B$1:$F$65,5,false)</f>
        <v/>
      </c>
      <c r="AZ92" s="4" t="s">
        <v>69</v>
      </c>
    </row>
    <row r="93" ht="22.5" customHeight="1">
      <c r="A93" s="4" t="s">
        <v>208</v>
      </c>
      <c r="B93" s="2">
        <f t="shared" ref="B93:C93" si="92">sum(E93+H93+K93+N93+Q93+T93+W93+Z93+AC93+AF93+AI93+AL93+AO93+AR93+AU93+AX93)</f>
        <v>2010</v>
      </c>
      <c r="C93" s="2">
        <f t="shared" si="92"/>
        <v>0</v>
      </c>
      <c r="D93" s="5" t="s">
        <v>125</v>
      </c>
      <c r="E93" s="5">
        <f>VLOOKUP(D93,'Team Hub'!$B$1:$F$65,4,false)</f>
        <v>500</v>
      </c>
      <c r="F93" s="4" t="str">
        <f>VLOOKUP(D93,'Team Hub'!$B$1:$F$65,5,false)</f>
        <v/>
      </c>
      <c r="G93" s="5" t="s">
        <v>81</v>
      </c>
      <c r="H93" s="5">
        <f>VLOOKUP(G93,'Team Hub'!$B$1:$F$65,4,false)</f>
        <v>330</v>
      </c>
      <c r="I93" s="4" t="str">
        <f>VLOOKUP(G93,'Team Hub'!$B$1:$F$65,5,false)</f>
        <v/>
      </c>
      <c r="J93" s="5" t="s">
        <v>55</v>
      </c>
      <c r="K93" s="5">
        <f>VLOOKUP(J93,'Team Hub'!$B$1:$F$65,4,false)</f>
        <v>360</v>
      </c>
      <c r="L93" s="4" t="str">
        <f>VLOOKUP(J93,'Team Hub'!$B$1:$F$65,5,false)</f>
        <v/>
      </c>
      <c r="M93" s="5" t="s">
        <v>97</v>
      </c>
      <c r="N93" s="5">
        <f>VLOOKUP(M93,'Team Hub'!$B$1:$F$65,4,false)</f>
        <v>260</v>
      </c>
      <c r="O93" s="5" t="str">
        <f>VLOOKUP(M93,'Team Hub'!$B$1:$F$65,5,false)</f>
        <v/>
      </c>
      <c r="P93" s="5" t="s">
        <v>132</v>
      </c>
      <c r="Q93" s="5">
        <f>VLOOKUP(P93,'Team Hub'!$B$1:$F$65,4,false)</f>
        <v>0</v>
      </c>
      <c r="R93" s="5" t="str">
        <f>VLOOKUP(P93,'Team Hub'!$B$1:$F$65,5,false)</f>
        <v/>
      </c>
      <c r="S93" s="5" t="s">
        <v>113</v>
      </c>
      <c r="T93" s="5">
        <f>VLOOKUP(S93,'Team Hub'!$B$1:$F$65,4,false)</f>
        <v>0</v>
      </c>
      <c r="U93" s="5" t="str">
        <f>VLOOKUP(S93,'Team Hub'!$B$1:$F$65,5,false)</f>
        <v/>
      </c>
      <c r="V93" s="5" t="s">
        <v>83</v>
      </c>
      <c r="W93" s="5">
        <f>VLOOKUP(V93,'Team Hub'!$B$1:$F$65,4,false)</f>
        <v>0</v>
      </c>
      <c r="X93" s="5" t="str">
        <f>VLOOKUP(V93,'Team Hub'!$B$1:$F$65,5,false)</f>
        <v/>
      </c>
      <c r="Y93" s="5" t="s">
        <v>76</v>
      </c>
      <c r="Z93" s="5">
        <f>VLOOKUP(Y93,'Team Hub'!$B$1:$F$65,4,false)</f>
        <v>170</v>
      </c>
      <c r="AA93" s="4" t="str">
        <f>VLOOKUP(Y93,'Team Hub'!$B$1:$F$65,5,false)</f>
        <v/>
      </c>
      <c r="AB93" s="5" t="s">
        <v>94</v>
      </c>
      <c r="AC93" s="5">
        <f>VLOOKUP(AB93,'Team Hub'!$B$1:$F$65,4,false)</f>
        <v>180</v>
      </c>
      <c r="AD93" s="4" t="str">
        <f>VLOOKUP(AB93,'Team Hub'!$B$1:$F$65,5,false)</f>
        <v/>
      </c>
      <c r="AE93" s="5" t="s">
        <v>123</v>
      </c>
      <c r="AF93" s="5">
        <f>VLOOKUP(AE93,'Team Hub'!$B$1:$F$65,4,false)</f>
        <v>0</v>
      </c>
      <c r="AG93" s="4" t="str">
        <f>VLOOKUP(AE93,'Team Hub'!$B$1:$F$65,5,false)</f>
        <v/>
      </c>
      <c r="AH93" s="5" t="s">
        <v>63</v>
      </c>
      <c r="AI93" s="5">
        <f>VLOOKUP(AH93,'Team Hub'!$B$1:$F$65,4,false)</f>
        <v>0</v>
      </c>
      <c r="AJ93" s="4" t="str">
        <f>VLOOKUP(AH93,'Team Hub'!$B$1:$F$65,5,false)</f>
        <v/>
      </c>
      <c r="AK93" s="5" t="s">
        <v>64</v>
      </c>
      <c r="AL93" s="5">
        <f>VLOOKUP(AK93,'Team Hub'!$B$1:$F$65,4,false)</f>
        <v>210</v>
      </c>
      <c r="AM93" s="4" t="str">
        <f>VLOOKUP(AK93,'Team Hub'!$B$1:$F$65,5,false)</f>
        <v/>
      </c>
      <c r="AN93" s="5" t="s">
        <v>110</v>
      </c>
      <c r="AO93" s="5">
        <f>VLOOKUP(AN93,'Team Hub'!$B$1:$F$65,4,false)</f>
        <v>0</v>
      </c>
      <c r="AP93" s="4" t="str">
        <f>VLOOKUP(AN93,'Team Hub'!$B$1:$F$65,5,false)</f>
        <v/>
      </c>
      <c r="AQ93" s="5" t="s">
        <v>66</v>
      </c>
      <c r="AR93" s="5">
        <f>VLOOKUP(AQ93,'Team Hub'!$B$1:$F$65,4,false)</f>
        <v>0</v>
      </c>
      <c r="AS93" s="4" t="str">
        <f>VLOOKUP(AQ93,'Team Hub'!$B$1:$F$65,5,false)</f>
        <v/>
      </c>
      <c r="AT93" s="5" t="s">
        <v>129</v>
      </c>
      <c r="AU93" s="5">
        <f>VLOOKUP(AT93,'Team Hub'!$B$1:$F$65,4,false)</f>
        <v>0</v>
      </c>
      <c r="AV93" s="4" t="str">
        <f>VLOOKUP(AT93,'Team Hub'!$B$1:$F$65,5,false)</f>
        <v/>
      </c>
      <c r="AW93" s="5" t="s">
        <v>103</v>
      </c>
      <c r="AX93" s="5">
        <f>VLOOKUP(AW93,'Team Hub'!$B$1:$F$65,4,false)</f>
        <v>0</v>
      </c>
      <c r="AY93" s="4" t="str">
        <f>VLOOKUP(AW93,'Team Hub'!$B$1:$F$65,5,false)</f>
        <v/>
      </c>
      <c r="AZ93" s="4" t="s">
        <v>69</v>
      </c>
    </row>
    <row r="94" ht="22.5" customHeight="1">
      <c r="A94" s="4" t="s">
        <v>209</v>
      </c>
      <c r="B94" s="2">
        <f t="shared" ref="B94:C94" si="93">sum(E94+H94+K94+N94+Q94+T94+W94+Z94+AC94+AF94+AI94+AL94+AO94+AR94+AU94+AX94)</f>
        <v>2000</v>
      </c>
      <c r="C94" s="2">
        <f t="shared" si="93"/>
        <v>0</v>
      </c>
      <c r="D94" s="5" t="s">
        <v>53</v>
      </c>
      <c r="E94" s="5">
        <f>VLOOKUP(D94,'Team Hub'!$B$1:$F$65,4,false)</f>
        <v>400</v>
      </c>
      <c r="F94" s="4" t="str">
        <f>VLOOKUP(D94,'Team Hub'!$B$1:$F$65,5,false)</f>
        <v/>
      </c>
      <c r="G94" s="5" t="s">
        <v>81</v>
      </c>
      <c r="H94" s="5">
        <f>VLOOKUP(G94,'Team Hub'!$B$1:$F$65,4,false)</f>
        <v>330</v>
      </c>
      <c r="I94" s="4" t="str">
        <f>VLOOKUP(G94,'Team Hub'!$B$1:$F$65,5,false)</f>
        <v/>
      </c>
      <c r="J94" s="5" t="s">
        <v>55</v>
      </c>
      <c r="K94" s="5">
        <f>VLOOKUP(J94,'Team Hub'!$B$1:$F$65,4,false)</f>
        <v>360</v>
      </c>
      <c r="L94" s="4" t="str">
        <f>VLOOKUP(J94,'Team Hub'!$B$1:$F$65,5,false)</f>
        <v/>
      </c>
      <c r="M94" s="5" t="s">
        <v>97</v>
      </c>
      <c r="N94" s="5">
        <f>VLOOKUP(M94,'Team Hub'!$B$1:$F$65,4,false)</f>
        <v>260</v>
      </c>
      <c r="O94" s="5" t="str">
        <f>VLOOKUP(M94,'Team Hub'!$B$1:$F$65,5,false)</f>
        <v/>
      </c>
      <c r="P94" s="5" t="s">
        <v>132</v>
      </c>
      <c r="Q94" s="5">
        <f>VLOOKUP(P94,'Team Hub'!$B$1:$F$65,4,false)</f>
        <v>0</v>
      </c>
      <c r="R94" s="5" t="str">
        <f>VLOOKUP(P94,'Team Hub'!$B$1:$F$65,5,false)</f>
        <v/>
      </c>
      <c r="S94" s="5" t="s">
        <v>58</v>
      </c>
      <c r="T94" s="5">
        <f>VLOOKUP(S94,'Team Hub'!$B$1:$F$65,4,false)</f>
        <v>300</v>
      </c>
      <c r="U94" s="5" t="str">
        <f>VLOOKUP(S94,'Team Hub'!$B$1:$F$65,5,false)</f>
        <v/>
      </c>
      <c r="V94" s="5" t="s">
        <v>83</v>
      </c>
      <c r="W94" s="5">
        <f>VLOOKUP(V94,'Team Hub'!$B$1:$F$65,4,false)</f>
        <v>0</v>
      </c>
      <c r="X94" s="5" t="str">
        <f>VLOOKUP(V94,'Team Hub'!$B$1:$F$65,5,false)</f>
        <v/>
      </c>
      <c r="Y94" s="5" t="s">
        <v>60</v>
      </c>
      <c r="Z94" s="5">
        <f>VLOOKUP(Y94,'Team Hub'!$B$1:$F$65,4,false)</f>
        <v>170</v>
      </c>
      <c r="AA94" s="4" t="str">
        <f>VLOOKUP(Y94,'Team Hub'!$B$1:$F$65,5,false)</f>
        <v/>
      </c>
      <c r="AB94" s="5" t="s">
        <v>94</v>
      </c>
      <c r="AC94" s="5">
        <f>VLOOKUP(AB94,'Team Hub'!$B$1:$F$65,4,false)</f>
        <v>180</v>
      </c>
      <c r="AD94" s="4" t="str">
        <f>VLOOKUP(AB94,'Team Hub'!$B$1:$F$65,5,false)</f>
        <v/>
      </c>
      <c r="AE94" s="5" t="s">
        <v>154</v>
      </c>
      <c r="AF94" s="5">
        <f>VLOOKUP(AE94,'Team Hub'!$B$1:$F$65,4,false)</f>
        <v>0</v>
      </c>
      <c r="AG94" s="4" t="str">
        <f>VLOOKUP(AE94,'Team Hub'!$B$1:$F$65,5,false)</f>
        <v/>
      </c>
      <c r="AH94" s="5" t="s">
        <v>98</v>
      </c>
      <c r="AI94" s="5">
        <f>VLOOKUP(AH94,'Team Hub'!$B$1:$F$65,4,false)</f>
        <v>0</v>
      </c>
      <c r="AJ94" s="4" t="str">
        <f>VLOOKUP(AH94,'Team Hub'!$B$1:$F$65,5,false)</f>
        <v/>
      </c>
      <c r="AK94" s="5" t="s">
        <v>107</v>
      </c>
      <c r="AL94" s="5">
        <f>VLOOKUP(AK94,'Team Hub'!$B$1:$F$65,4,false)</f>
        <v>0</v>
      </c>
      <c r="AM94" s="4" t="str">
        <f>VLOOKUP(AK94,'Team Hub'!$B$1:$F$65,5,false)</f>
        <v/>
      </c>
      <c r="AN94" s="5" t="s">
        <v>88</v>
      </c>
      <c r="AO94" s="5">
        <f>VLOOKUP(AN94,'Team Hub'!$B$1:$F$65,4,false)</f>
        <v>0</v>
      </c>
      <c r="AP94" s="4" t="str">
        <f>VLOOKUP(AN94,'Team Hub'!$B$1:$F$65,5,false)</f>
        <v/>
      </c>
      <c r="AQ94" s="5" t="s">
        <v>66</v>
      </c>
      <c r="AR94" s="5">
        <f>VLOOKUP(AQ94,'Team Hub'!$B$1:$F$65,4,false)</f>
        <v>0</v>
      </c>
      <c r="AS94" s="4" t="str">
        <f>VLOOKUP(AQ94,'Team Hub'!$B$1:$F$65,5,false)</f>
        <v/>
      </c>
      <c r="AT94" s="5" t="s">
        <v>105</v>
      </c>
      <c r="AU94" s="5">
        <f>VLOOKUP(AT94,'Team Hub'!$B$1:$F$65,4,false)</f>
        <v>0</v>
      </c>
      <c r="AV94" s="5" t="str">
        <f>VLOOKUP(AT94,'Team Hub'!$B$1:$F$65,5,false)</f>
        <v/>
      </c>
      <c r="AW94" s="5" t="s">
        <v>99</v>
      </c>
      <c r="AX94" s="5">
        <f>VLOOKUP(AW94,'Team Hub'!$B$1:$F$65,4,false)</f>
        <v>0</v>
      </c>
      <c r="AY94" s="4" t="str">
        <f>VLOOKUP(AW94,'Team Hub'!$B$1:$F$65,5,false)</f>
        <v/>
      </c>
      <c r="AZ94" s="4" t="s">
        <v>69</v>
      </c>
    </row>
    <row r="95" ht="22.5" customHeight="1">
      <c r="A95" s="4" t="s">
        <v>210</v>
      </c>
      <c r="B95" s="2">
        <f t="shared" ref="B95:C95" si="94">sum(E95+H95+K95+N95+Q95+T95+W95+Z95+AC95+AF95+AI95+AL95+AO95+AR95+AU95+AX95)</f>
        <v>1990</v>
      </c>
      <c r="C95" s="2">
        <f t="shared" si="94"/>
        <v>1</v>
      </c>
      <c r="D95" s="4" t="s">
        <v>71</v>
      </c>
      <c r="E95" s="4">
        <f>VLOOKUP(D95,'Team Hub'!$B$1:$F$65,4,false)</f>
        <v>600</v>
      </c>
      <c r="F95" s="4">
        <f>VLOOKUP(D95,'Team Hub'!$B$1:$F$65,5,false)</f>
        <v>1</v>
      </c>
      <c r="G95" s="5" t="s">
        <v>72</v>
      </c>
      <c r="H95" s="5">
        <f>VLOOKUP(G95,'Team Hub'!$B$1:$F$65,4,false)</f>
        <v>330</v>
      </c>
      <c r="I95" s="5" t="str">
        <f>VLOOKUP(G95,'Team Hub'!$B$1:$F$65,5,false)</f>
        <v/>
      </c>
      <c r="J95" s="5" t="s">
        <v>73</v>
      </c>
      <c r="K95" s="5">
        <f>VLOOKUP(J95,'Team Hub'!$B$1:$F$65,4,false)</f>
        <v>240</v>
      </c>
      <c r="L95" s="4" t="str">
        <f>VLOOKUP(J95,'Team Hub'!$B$1:$F$65,5,false)</f>
        <v/>
      </c>
      <c r="M95" s="5" t="s">
        <v>56</v>
      </c>
      <c r="N95" s="5">
        <f>VLOOKUP(M95,'Team Hub'!$B$1:$F$65,4,false)</f>
        <v>260</v>
      </c>
      <c r="O95" s="5" t="str">
        <f>VLOOKUP(M95,'Team Hub'!$B$1:$F$65,5,false)</f>
        <v/>
      </c>
      <c r="P95" s="5" t="s">
        <v>132</v>
      </c>
      <c r="Q95" s="5">
        <f>VLOOKUP(P95,'Team Hub'!$B$1:$F$65,4,false)</f>
        <v>0</v>
      </c>
      <c r="R95" s="5" t="str">
        <f>VLOOKUP(P95,'Team Hub'!$B$1:$F$65,5,false)</f>
        <v/>
      </c>
      <c r="S95" s="5" t="s">
        <v>113</v>
      </c>
      <c r="T95" s="5">
        <f>VLOOKUP(S95,'Team Hub'!$B$1:$F$65,4,false)</f>
        <v>0</v>
      </c>
      <c r="U95" s="5" t="str">
        <f>VLOOKUP(S95,'Team Hub'!$B$1:$F$65,5,false)</f>
        <v/>
      </c>
      <c r="V95" s="5" t="s">
        <v>75</v>
      </c>
      <c r="W95" s="5">
        <f>VLOOKUP(V95,'Team Hub'!$B$1:$F$65,4,false)</f>
        <v>0</v>
      </c>
      <c r="X95" s="5" t="str">
        <f>VLOOKUP(V95,'Team Hub'!$B$1:$F$65,5,false)</f>
        <v/>
      </c>
      <c r="Y95" s="5" t="s">
        <v>76</v>
      </c>
      <c r="Z95" s="5">
        <f>VLOOKUP(Y95,'Team Hub'!$B$1:$F$65,4,false)</f>
        <v>170</v>
      </c>
      <c r="AA95" s="4" t="str">
        <f>VLOOKUP(Y95,'Team Hub'!$B$1:$F$65,5,false)</f>
        <v/>
      </c>
      <c r="AB95" s="5" t="s">
        <v>61</v>
      </c>
      <c r="AC95" s="5">
        <f>VLOOKUP(AB95,'Team Hub'!$B$1:$F$65,4,false)</f>
        <v>180</v>
      </c>
      <c r="AD95" s="4" t="str">
        <f>VLOOKUP(AB95,'Team Hub'!$B$1:$F$65,5,false)</f>
        <v/>
      </c>
      <c r="AE95" s="5" t="s">
        <v>123</v>
      </c>
      <c r="AF95" s="5">
        <f>VLOOKUP(AE95,'Team Hub'!$B$1:$F$65,4,false)</f>
        <v>0</v>
      </c>
      <c r="AG95" s="4" t="str">
        <f>VLOOKUP(AE95,'Team Hub'!$B$1:$F$65,5,false)</f>
        <v/>
      </c>
      <c r="AH95" s="5" t="s">
        <v>63</v>
      </c>
      <c r="AI95" s="5">
        <f>VLOOKUP(AH95,'Team Hub'!$B$1:$F$65,4,false)</f>
        <v>0</v>
      </c>
      <c r="AJ95" s="4" t="str">
        <f>VLOOKUP(AH95,'Team Hub'!$B$1:$F$65,5,false)</f>
        <v/>
      </c>
      <c r="AK95" s="5" t="s">
        <v>64</v>
      </c>
      <c r="AL95" s="5">
        <f>VLOOKUP(AK95,'Team Hub'!$B$1:$F$65,4,false)</f>
        <v>210</v>
      </c>
      <c r="AM95" s="4" t="str">
        <f>VLOOKUP(AK95,'Team Hub'!$B$1:$F$65,5,false)</f>
        <v/>
      </c>
      <c r="AN95" s="5" t="s">
        <v>77</v>
      </c>
      <c r="AO95" s="5">
        <f>VLOOKUP(AN95,'Team Hub'!$B$1:$F$65,4,false)</f>
        <v>0</v>
      </c>
      <c r="AP95" s="4" t="str">
        <f>VLOOKUP(AN95,'Team Hub'!$B$1:$F$65,5,false)</f>
        <v/>
      </c>
      <c r="AQ95" s="5" t="s">
        <v>89</v>
      </c>
      <c r="AR95" s="5">
        <f>VLOOKUP(AQ95,'Team Hub'!$B$1:$F$65,4,false)</f>
        <v>0</v>
      </c>
      <c r="AS95" s="4" t="str">
        <f>VLOOKUP(AQ95,'Team Hub'!$B$1:$F$65,5,false)</f>
        <v/>
      </c>
      <c r="AT95" s="5" t="s">
        <v>129</v>
      </c>
      <c r="AU95" s="5">
        <f>VLOOKUP(AT95,'Team Hub'!$B$1:$F$65,4,false)</f>
        <v>0</v>
      </c>
      <c r="AV95" s="4" t="str">
        <f>VLOOKUP(AT95,'Team Hub'!$B$1:$F$65,5,false)</f>
        <v/>
      </c>
      <c r="AW95" s="5" t="s">
        <v>68</v>
      </c>
      <c r="AX95" s="5">
        <f>VLOOKUP(AW95,'Team Hub'!$B$1:$F$65,4,false)</f>
        <v>0</v>
      </c>
      <c r="AY95" s="4" t="str">
        <f>VLOOKUP(AW95,'Team Hub'!$B$1:$F$65,5,false)</f>
        <v/>
      </c>
      <c r="AZ95" s="4" t="s">
        <v>69</v>
      </c>
    </row>
    <row r="96" ht="22.5" customHeight="1">
      <c r="A96" s="4" t="s">
        <v>211</v>
      </c>
      <c r="B96" s="2">
        <f t="shared" ref="B96:C96" si="95">sum(E96+H96+K96+N96+Q96+T96+W96+Z96+AC96+AF96+AI96+AL96+AO96+AR96+AU96+AX96)</f>
        <v>1980</v>
      </c>
      <c r="C96" s="2">
        <f t="shared" si="95"/>
        <v>1</v>
      </c>
      <c r="D96" s="4" t="s">
        <v>71</v>
      </c>
      <c r="E96" s="4">
        <f>VLOOKUP(D96,'Team Hub'!$B$1:$F$65,4,false)</f>
        <v>600</v>
      </c>
      <c r="F96" s="4">
        <f>VLOOKUP(D96,'Team Hub'!$B$1:$F$65,5,false)</f>
        <v>1</v>
      </c>
      <c r="G96" s="5" t="s">
        <v>72</v>
      </c>
      <c r="H96" s="5">
        <f>VLOOKUP(G96,'Team Hub'!$B$1:$F$65,4,false)</f>
        <v>330</v>
      </c>
      <c r="I96" s="5" t="str">
        <f>VLOOKUP(G96,'Team Hub'!$B$1:$F$65,5,false)</f>
        <v/>
      </c>
      <c r="J96" s="5" t="s">
        <v>101</v>
      </c>
      <c r="K96" s="5">
        <f>VLOOKUP(J96,'Team Hub'!$B$1:$F$65,4,false)</f>
        <v>120</v>
      </c>
      <c r="L96" s="4" t="str">
        <f>VLOOKUP(J96,'Team Hub'!$B$1:$F$65,5,false)</f>
        <v/>
      </c>
      <c r="M96" s="5" t="s">
        <v>142</v>
      </c>
      <c r="N96" s="5">
        <f>VLOOKUP(M96,'Team Hub'!$B$1:$F$65,4,false)</f>
        <v>130</v>
      </c>
      <c r="O96" s="5" t="str">
        <f>VLOOKUP(M96,'Team Hub'!$B$1:$F$65,5,false)</f>
        <v/>
      </c>
      <c r="P96" s="5" t="s">
        <v>102</v>
      </c>
      <c r="Q96" s="5">
        <f>VLOOKUP(P96,'Team Hub'!$B$1:$F$65,4,false)</f>
        <v>140</v>
      </c>
      <c r="R96" s="5" t="str">
        <f>VLOOKUP(P96,'Team Hub'!$B$1:$F$65,5,false)</f>
        <v/>
      </c>
      <c r="S96" s="5" t="s">
        <v>82</v>
      </c>
      <c r="T96" s="5">
        <f>VLOOKUP(S96,'Team Hub'!$B$1:$F$65,4,false)</f>
        <v>300</v>
      </c>
      <c r="U96" s="5" t="str">
        <f>VLOOKUP(S96,'Team Hub'!$B$1:$F$65,5,false)</f>
        <v/>
      </c>
      <c r="V96" s="5" t="s">
        <v>93</v>
      </c>
      <c r="W96" s="5">
        <f>VLOOKUP(V96,'Team Hub'!$B$1:$F$65,4,false)</f>
        <v>160</v>
      </c>
      <c r="X96" s="5" t="str">
        <f>VLOOKUP(V96,'Team Hub'!$B$1:$F$65,5,false)</f>
        <v/>
      </c>
      <c r="Y96" s="5" t="s">
        <v>126</v>
      </c>
      <c r="Z96" s="5">
        <f>VLOOKUP(Y96,'Team Hub'!$B$1:$F$65,4,false)</f>
        <v>0</v>
      </c>
      <c r="AA96" s="4" t="str">
        <f>VLOOKUP(Y96,'Team Hub'!$B$1:$F$65,5,false)</f>
        <v/>
      </c>
      <c r="AB96" s="5" t="s">
        <v>84</v>
      </c>
      <c r="AC96" s="5">
        <f>VLOOKUP(AB96,'Team Hub'!$B$1:$F$65,4,false)</f>
        <v>0</v>
      </c>
      <c r="AD96" s="4" t="str">
        <f>VLOOKUP(AB96,'Team Hub'!$B$1:$F$65,5,false)</f>
        <v/>
      </c>
      <c r="AE96" s="5" t="s">
        <v>123</v>
      </c>
      <c r="AF96" s="5">
        <f>VLOOKUP(AE96,'Team Hub'!$B$1:$F$65,4,false)</f>
        <v>0</v>
      </c>
      <c r="AG96" s="4" t="str">
        <f>VLOOKUP(AE96,'Team Hub'!$B$1:$F$65,5,false)</f>
        <v/>
      </c>
      <c r="AH96" s="5" t="s">
        <v>86</v>
      </c>
      <c r="AI96" s="5">
        <f>VLOOKUP(AH96,'Team Hub'!$B$1:$F$65,4,false)</f>
        <v>200</v>
      </c>
      <c r="AJ96" s="4" t="str">
        <f>VLOOKUP(AH96,'Team Hub'!$B$1:$F$65,5,false)</f>
        <v/>
      </c>
      <c r="AK96" s="5" t="s">
        <v>107</v>
      </c>
      <c r="AL96" s="5">
        <f>VLOOKUP(AK96,'Team Hub'!$B$1:$F$65,4,false)</f>
        <v>0</v>
      </c>
      <c r="AM96" s="4" t="str">
        <f>VLOOKUP(AK96,'Team Hub'!$B$1:$F$65,5,false)</f>
        <v/>
      </c>
      <c r="AN96" s="5" t="s">
        <v>77</v>
      </c>
      <c r="AO96" s="5">
        <f>VLOOKUP(AN96,'Team Hub'!$B$1:$F$65,4,false)</f>
        <v>0</v>
      </c>
      <c r="AP96" s="4" t="str">
        <f>VLOOKUP(AN96,'Team Hub'!$B$1:$F$65,5,false)</f>
        <v/>
      </c>
      <c r="AQ96" s="5" t="s">
        <v>66</v>
      </c>
      <c r="AR96" s="5">
        <f>VLOOKUP(AQ96,'Team Hub'!$B$1:$F$65,4,false)</f>
        <v>0</v>
      </c>
      <c r="AS96" s="4" t="str">
        <f>VLOOKUP(AQ96,'Team Hub'!$B$1:$F$65,5,false)</f>
        <v/>
      </c>
      <c r="AT96" s="5" t="s">
        <v>105</v>
      </c>
      <c r="AU96" s="5">
        <f>VLOOKUP(AT96,'Team Hub'!$B$1:$F$65,4,false)</f>
        <v>0</v>
      </c>
      <c r="AV96" s="5" t="str">
        <f>VLOOKUP(AT96,'Team Hub'!$B$1:$F$65,5,false)</f>
        <v/>
      </c>
      <c r="AW96" s="5" t="s">
        <v>68</v>
      </c>
      <c r="AX96" s="5">
        <f>VLOOKUP(AW96,'Team Hub'!$B$1:$F$65,4,false)</f>
        <v>0</v>
      </c>
      <c r="AY96" s="4" t="str">
        <f>VLOOKUP(AW96,'Team Hub'!$B$1:$F$65,5,false)</f>
        <v/>
      </c>
      <c r="AZ96" s="4" t="s">
        <v>69</v>
      </c>
    </row>
    <row r="97" ht="22.5" customHeight="1">
      <c r="A97" s="4" t="s">
        <v>212</v>
      </c>
      <c r="B97" s="2">
        <f t="shared" ref="B97:C97" si="96">sum(E97+H97+K97+N97+Q97+T97+W97+Z97+AC97+AF97+AI97+AL97+AO97+AR97+AU97+AX97)</f>
        <v>1960</v>
      </c>
      <c r="C97" s="2">
        <f t="shared" si="96"/>
        <v>1</v>
      </c>
      <c r="D97" s="4" t="s">
        <v>71</v>
      </c>
      <c r="E97" s="4">
        <f>VLOOKUP(D97,'Team Hub'!$B$1:$F$65,4,false)</f>
        <v>600</v>
      </c>
      <c r="F97" s="4">
        <f>VLOOKUP(D97,'Team Hub'!$B$1:$F$65,5,false)</f>
        <v>1</v>
      </c>
      <c r="G97" s="5" t="s">
        <v>54</v>
      </c>
      <c r="H97" s="5">
        <f>VLOOKUP(G97,'Team Hub'!$B$1:$F$65,4,false)</f>
        <v>330</v>
      </c>
      <c r="I97" s="4" t="str">
        <f>VLOOKUP(G97,'Team Hub'!$B$1:$F$65,5,false)</f>
        <v/>
      </c>
      <c r="J97" s="5" t="s">
        <v>55</v>
      </c>
      <c r="K97" s="5">
        <f>VLOOKUP(J97,'Team Hub'!$B$1:$F$65,4,false)</f>
        <v>360</v>
      </c>
      <c r="L97" s="4" t="str">
        <f>VLOOKUP(J97,'Team Hub'!$B$1:$F$65,5,false)</f>
        <v/>
      </c>
      <c r="M97" s="5" t="s">
        <v>142</v>
      </c>
      <c r="N97" s="5">
        <f>VLOOKUP(M97,'Team Hub'!$B$1:$F$65,4,false)</f>
        <v>130</v>
      </c>
      <c r="O97" s="5" t="str">
        <f>VLOOKUP(M97,'Team Hub'!$B$1:$F$65,5,false)</f>
        <v/>
      </c>
      <c r="P97" s="5" t="s">
        <v>132</v>
      </c>
      <c r="Q97" s="5">
        <f>VLOOKUP(P97,'Team Hub'!$B$1:$F$65,4,false)</f>
        <v>0</v>
      </c>
      <c r="R97" s="5" t="str">
        <f>VLOOKUP(P97,'Team Hub'!$B$1:$F$65,5,false)</f>
        <v/>
      </c>
      <c r="S97" s="5" t="s">
        <v>92</v>
      </c>
      <c r="T97" s="5">
        <f>VLOOKUP(S97,'Team Hub'!$B$1:$F$65,4,false)</f>
        <v>150</v>
      </c>
      <c r="U97" s="5" t="str">
        <f>VLOOKUP(S97,'Team Hub'!$B$1:$F$65,5,false)</f>
        <v/>
      </c>
      <c r="V97" s="5" t="s">
        <v>83</v>
      </c>
      <c r="W97" s="5">
        <f>VLOOKUP(V97,'Team Hub'!$B$1:$F$65,4,false)</f>
        <v>0</v>
      </c>
      <c r="X97" s="5" t="str">
        <f>VLOOKUP(V97,'Team Hub'!$B$1:$F$65,5,false)</f>
        <v/>
      </c>
      <c r="Y97" s="5" t="s">
        <v>126</v>
      </c>
      <c r="Z97" s="5">
        <f>VLOOKUP(Y97,'Team Hub'!$B$1:$F$65,4,false)</f>
        <v>0</v>
      </c>
      <c r="AA97" s="4" t="str">
        <f>VLOOKUP(Y97,'Team Hub'!$B$1:$F$65,5,false)</f>
        <v/>
      </c>
      <c r="AB97" s="5" t="s">
        <v>61</v>
      </c>
      <c r="AC97" s="5">
        <f>VLOOKUP(AB97,'Team Hub'!$B$1:$F$65,4,false)</f>
        <v>180</v>
      </c>
      <c r="AD97" s="4" t="str">
        <f>VLOOKUP(AB97,'Team Hub'!$B$1:$F$65,5,false)</f>
        <v/>
      </c>
      <c r="AE97" s="5" t="s">
        <v>123</v>
      </c>
      <c r="AF97" s="5">
        <f>VLOOKUP(AE97,'Team Hub'!$B$1:$F$65,4,false)</f>
        <v>0</v>
      </c>
      <c r="AG97" s="4" t="str">
        <f>VLOOKUP(AE97,'Team Hub'!$B$1:$F$65,5,false)</f>
        <v/>
      </c>
      <c r="AH97" s="5" t="s">
        <v>98</v>
      </c>
      <c r="AI97" s="5">
        <f>VLOOKUP(AH97,'Team Hub'!$B$1:$F$65,4,false)</f>
        <v>0</v>
      </c>
      <c r="AJ97" s="4" t="str">
        <f>VLOOKUP(AH97,'Team Hub'!$B$1:$F$65,5,false)</f>
        <v/>
      </c>
      <c r="AK97" s="5" t="s">
        <v>64</v>
      </c>
      <c r="AL97" s="5">
        <f>VLOOKUP(AK97,'Team Hub'!$B$1:$F$65,4,false)</f>
        <v>210</v>
      </c>
      <c r="AM97" s="4" t="str">
        <f>VLOOKUP(AK97,'Team Hub'!$B$1:$F$65,5,false)</f>
        <v/>
      </c>
      <c r="AN97" s="5" t="s">
        <v>88</v>
      </c>
      <c r="AO97" s="5">
        <f>VLOOKUP(AN97,'Team Hub'!$B$1:$F$65,4,false)</f>
        <v>0</v>
      </c>
      <c r="AP97" s="4" t="str">
        <f>VLOOKUP(AN97,'Team Hub'!$B$1:$F$65,5,false)</f>
        <v/>
      </c>
      <c r="AQ97" s="5" t="s">
        <v>89</v>
      </c>
      <c r="AR97" s="5">
        <f>VLOOKUP(AQ97,'Team Hub'!$B$1:$F$65,4,false)</f>
        <v>0</v>
      </c>
      <c r="AS97" s="4" t="str">
        <f>VLOOKUP(AQ97,'Team Hub'!$B$1:$F$65,5,false)</f>
        <v/>
      </c>
      <c r="AT97" s="5" t="s">
        <v>67</v>
      </c>
      <c r="AU97" s="5">
        <f>VLOOKUP(AT97,'Team Hub'!$B$1:$F$65,4,false)</f>
        <v>0</v>
      </c>
      <c r="AV97" s="4" t="str">
        <f>VLOOKUP(AT97,'Team Hub'!$B$1:$F$65,5,false)</f>
        <v/>
      </c>
      <c r="AW97" s="5" t="s">
        <v>95</v>
      </c>
      <c r="AX97" s="5">
        <f>VLOOKUP(AW97,'Team Hub'!$B$1:$F$65,4,false)</f>
        <v>0</v>
      </c>
      <c r="AY97" s="4" t="str">
        <f>VLOOKUP(AW97,'Team Hub'!$B$1:$F$65,5,false)</f>
        <v/>
      </c>
      <c r="AZ97" s="4" t="s">
        <v>69</v>
      </c>
    </row>
    <row r="98" ht="22.5" customHeight="1">
      <c r="A98" s="4" t="s">
        <v>213</v>
      </c>
      <c r="B98" s="2">
        <f t="shared" ref="B98:C98" si="97">sum(E98+H98+K98+N98+Q98+T98+W98+Z98+AC98+AF98+AI98+AL98+AO98+AR98+AU98+AX98)</f>
        <v>1960</v>
      </c>
      <c r="C98" s="2">
        <f t="shared" si="97"/>
        <v>0</v>
      </c>
      <c r="D98" s="5" t="s">
        <v>125</v>
      </c>
      <c r="E98" s="5">
        <f>VLOOKUP(D98,'Team Hub'!$B$1:$F$65,4,false)</f>
        <v>500</v>
      </c>
      <c r="F98" s="4" t="str">
        <f>VLOOKUP(D98,'Team Hub'!$B$1:$F$65,5,false)</f>
        <v/>
      </c>
      <c r="G98" s="5" t="s">
        <v>109</v>
      </c>
      <c r="H98" s="5">
        <f>VLOOKUP(G98,'Team Hub'!$B$1:$F$65,4,false)</f>
        <v>110</v>
      </c>
      <c r="I98" s="4" t="str">
        <f>VLOOKUP(G98,'Team Hub'!$B$1:$F$65,5,false)</f>
        <v/>
      </c>
      <c r="J98" s="5" t="s">
        <v>101</v>
      </c>
      <c r="K98" s="5">
        <f>VLOOKUP(J98,'Team Hub'!$B$1:$F$65,4,false)</f>
        <v>120</v>
      </c>
      <c r="L98" s="4" t="str">
        <f>VLOOKUP(J98,'Team Hub'!$B$1:$F$65,5,false)</f>
        <v/>
      </c>
      <c r="M98" s="5" t="s">
        <v>74</v>
      </c>
      <c r="N98" s="5">
        <f>VLOOKUP(M98,'Team Hub'!$B$1:$F$65,4,false)</f>
        <v>260</v>
      </c>
      <c r="O98" s="5" t="str">
        <f>VLOOKUP(M98,'Team Hub'!$B$1:$F$65,5,false)</f>
        <v/>
      </c>
      <c r="P98" s="5" t="s">
        <v>57</v>
      </c>
      <c r="Q98" s="5">
        <f>VLOOKUP(P98,'Team Hub'!$B$1:$F$65,4,false)</f>
        <v>280</v>
      </c>
      <c r="R98" s="5" t="str">
        <f>VLOOKUP(P98,'Team Hub'!$B$1:$F$65,5,false)</f>
        <v/>
      </c>
      <c r="S98" s="5" t="s">
        <v>92</v>
      </c>
      <c r="T98" s="5">
        <f>VLOOKUP(S98,'Team Hub'!$B$1:$F$65,4,false)</f>
        <v>150</v>
      </c>
      <c r="U98" s="5" t="str">
        <f>VLOOKUP(S98,'Team Hub'!$B$1:$F$65,5,false)</f>
        <v/>
      </c>
      <c r="V98" s="5" t="s">
        <v>83</v>
      </c>
      <c r="W98" s="5">
        <f>VLOOKUP(V98,'Team Hub'!$B$1:$F$65,4,false)</f>
        <v>0</v>
      </c>
      <c r="X98" s="5" t="str">
        <f>VLOOKUP(V98,'Team Hub'!$B$1:$F$65,5,false)</f>
        <v/>
      </c>
      <c r="Y98" s="5" t="s">
        <v>60</v>
      </c>
      <c r="Z98" s="5">
        <f>VLOOKUP(Y98,'Team Hub'!$B$1:$F$65,4,false)</f>
        <v>170</v>
      </c>
      <c r="AA98" s="4" t="str">
        <f>VLOOKUP(Y98,'Team Hub'!$B$1:$F$65,5,false)</f>
        <v/>
      </c>
      <c r="AB98" s="5" t="s">
        <v>61</v>
      </c>
      <c r="AC98" s="5">
        <f>VLOOKUP(AB98,'Team Hub'!$B$1:$F$65,4,false)</f>
        <v>180</v>
      </c>
      <c r="AD98" s="4" t="str">
        <f>VLOOKUP(AB98,'Team Hub'!$B$1:$F$65,5,false)</f>
        <v/>
      </c>
      <c r="AE98" s="5" t="s">
        <v>85</v>
      </c>
      <c r="AF98" s="5">
        <f>VLOOKUP(AE98,'Team Hub'!$B$1:$F$65,4,false)</f>
        <v>190</v>
      </c>
      <c r="AG98" s="4" t="str">
        <f>VLOOKUP(AE98,'Team Hub'!$B$1:$F$65,5,false)</f>
        <v/>
      </c>
      <c r="AH98" s="5" t="s">
        <v>98</v>
      </c>
      <c r="AI98" s="5">
        <f>VLOOKUP(AH98,'Team Hub'!$B$1:$F$65,4,false)</f>
        <v>0</v>
      </c>
      <c r="AJ98" s="4" t="str">
        <f>VLOOKUP(AH98,'Team Hub'!$B$1:$F$65,5,false)</f>
        <v/>
      </c>
      <c r="AK98" s="5" t="s">
        <v>138</v>
      </c>
      <c r="AL98" s="5">
        <f>VLOOKUP(AK98,'Team Hub'!$B$1:$F$65,4,false)</f>
        <v>0</v>
      </c>
      <c r="AM98" s="4" t="str">
        <f>VLOOKUP(AK98,'Team Hub'!$B$1:$F$65,5,false)</f>
        <v/>
      </c>
      <c r="AN98" s="5" t="s">
        <v>110</v>
      </c>
      <c r="AO98" s="5">
        <f>VLOOKUP(AN98,'Team Hub'!$B$1:$F$65,4,false)</f>
        <v>0</v>
      </c>
      <c r="AP98" s="4" t="str">
        <f>VLOOKUP(AN98,'Team Hub'!$B$1:$F$65,5,false)</f>
        <v/>
      </c>
      <c r="AQ98" s="5" t="s">
        <v>117</v>
      </c>
      <c r="AR98" s="5">
        <f>VLOOKUP(AQ98,'Team Hub'!$B$1:$F$65,4,false)</f>
        <v>0</v>
      </c>
      <c r="AS98" s="4" t="str">
        <f>VLOOKUP(AQ98,'Team Hub'!$B$1:$F$65,5,false)</f>
        <v/>
      </c>
      <c r="AT98" s="5" t="s">
        <v>129</v>
      </c>
      <c r="AU98" s="5">
        <f>VLOOKUP(AT98,'Team Hub'!$B$1:$F$65,4,false)</f>
        <v>0</v>
      </c>
      <c r="AV98" s="4" t="str">
        <f>VLOOKUP(AT98,'Team Hub'!$B$1:$F$65,5,false)</f>
        <v/>
      </c>
      <c r="AW98" s="5" t="s">
        <v>95</v>
      </c>
      <c r="AX98" s="5">
        <f>VLOOKUP(AW98,'Team Hub'!$B$1:$F$65,4,false)</f>
        <v>0</v>
      </c>
      <c r="AY98" s="4" t="str">
        <f>VLOOKUP(AW98,'Team Hub'!$B$1:$F$65,5,false)</f>
        <v/>
      </c>
      <c r="AZ98" s="4" t="s">
        <v>69</v>
      </c>
    </row>
    <row r="99" ht="22.5" customHeight="1">
      <c r="A99" s="4" t="s">
        <v>214</v>
      </c>
      <c r="B99" s="2">
        <f t="shared" ref="B99:C99" si="98">sum(E99+H99+K99+N99+Q99+T99+W99+Z99+AC99+AF99+AI99+AL99+AO99+AR99+AU99+AX99)</f>
        <v>1940</v>
      </c>
      <c r="C99" s="2">
        <f t="shared" si="98"/>
        <v>0</v>
      </c>
      <c r="D99" s="5" t="s">
        <v>53</v>
      </c>
      <c r="E99" s="5">
        <f>VLOOKUP(D99,'Team Hub'!$B$1:$F$65,4,false)</f>
        <v>400</v>
      </c>
      <c r="F99" s="4" t="str">
        <f>VLOOKUP(D99,'Team Hub'!$B$1:$F$65,5,false)</f>
        <v/>
      </c>
      <c r="G99" s="5" t="s">
        <v>81</v>
      </c>
      <c r="H99" s="5">
        <f>VLOOKUP(G99,'Team Hub'!$B$1:$F$65,4,false)</f>
        <v>330</v>
      </c>
      <c r="I99" s="4" t="str">
        <f>VLOOKUP(G99,'Team Hub'!$B$1:$F$65,5,false)</f>
        <v/>
      </c>
      <c r="J99" s="5" t="s">
        <v>101</v>
      </c>
      <c r="K99" s="5">
        <f>VLOOKUP(J99,'Team Hub'!$B$1:$F$65,4,false)</f>
        <v>120</v>
      </c>
      <c r="L99" s="4" t="str">
        <f>VLOOKUP(J99,'Team Hub'!$B$1:$F$65,5,false)</f>
        <v/>
      </c>
      <c r="M99" s="5" t="s">
        <v>97</v>
      </c>
      <c r="N99" s="5">
        <f>VLOOKUP(M99,'Team Hub'!$B$1:$F$65,4,false)</f>
        <v>260</v>
      </c>
      <c r="O99" s="5" t="str">
        <f>VLOOKUP(M99,'Team Hub'!$B$1:$F$65,5,false)</f>
        <v/>
      </c>
      <c r="P99" s="5" t="s">
        <v>102</v>
      </c>
      <c r="Q99" s="5">
        <f>VLOOKUP(P99,'Team Hub'!$B$1:$F$65,4,false)</f>
        <v>140</v>
      </c>
      <c r="R99" s="5" t="str">
        <f>VLOOKUP(P99,'Team Hub'!$B$1:$F$65,5,false)</f>
        <v/>
      </c>
      <c r="S99" s="5" t="s">
        <v>58</v>
      </c>
      <c r="T99" s="5">
        <f>VLOOKUP(S99,'Team Hub'!$B$1:$F$65,4,false)</f>
        <v>300</v>
      </c>
      <c r="U99" s="5" t="str">
        <f>VLOOKUP(S99,'Team Hub'!$B$1:$F$65,5,false)</f>
        <v/>
      </c>
      <c r="V99" s="5" t="s">
        <v>75</v>
      </c>
      <c r="W99" s="5">
        <f>VLOOKUP(V99,'Team Hub'!$B$1:$F$65,4,false)</f>
        <v>0</v>
      </c>
      <c r="X99" s="5" t="str">
        <f>VLOOKUP(V99,'Team Hub'!$B$1:$F$65,5,false)</f>
        <v/>
      </c>
      <c r="Y99" s="5" t="s">
        <v>188</v>
      </c>
      <c r="Z99" s="5">
        <f>VLOOKUP(Y99,'Team Hub'!$B$1:$F$65,4,false)</f>
        <v>0</v>
      </c>
      <c r="AA99" s="4" t="str">
        <f>VLOOKUP(Y99,'Team Hub'!$B$1:$F$65,5,false)</f>
        <v/>
      </c>
      <c r="AB99" s="5" t="s">
        <v>114</v>
      </c>
      <c r="AC99" s="5">
        <f>VLOOKUP(AB99,'Team Hub'!$B$1:$F$65,4,false)</f>
        <v>0</v>
      </c>
      <c r="AD99" s="4" t="str">
        <f>VLOOKUP(AB99,'Team Hub'!$B$1:$F$65,5,false)</f>
        <v/>
      </c>
      <c r="AE99" s="5" t="s">
        <v>85</v>
      </c>
      <c r="AF99" s="5">
        <f>VLOOKUP(AE99,'Team Hub'!$B$1:$F$65,4,false)</f>
        <v>190</v>
      </c>
      <c r="AG99" s="4" t="str">
        <f>VLOOKUP(AE99,'Team Hub'!$B$1:$F$65,5,false)</f>
        <v/>
      </c>
      <c r="AH99" s="5" t="s">
        <v>86</v>
      </c>
      <c r="AI99" s="5">
        <f>VLOOKUP(AH99,'Team Hub'!$B$1:$F$65,4,false)</f>
        <v>200</v>
      </c>
      <c r="AJ99" s="4" t="str">
        <f>VLOOKUP(AH99,'Team Hub'!$B$1:$F$65,5,false)</f>
        <v/>
      </c>
      <c r="AK99" s="5" t="s">
        <v>107</v>
      </c>
      <c r="AL99" s="5">
        <f>VLOOKUP(AK99,'Team Hub'!$B$1:$F$65,4,false)</f>
        <v>0</v>
      </c>
      <c r="AM99" s="4" t="str">
        <f>VLOOKUP(AK99,'Team Hub'!$B$1:$F$65,5,false)</f>
        <v/>
      </c>
      <c r="AN99" s="5" t="s">
        <v>88</v>
      </c>
      <c r="AO99" s="5">
        <f>VLOOKUP(AN99,'Team Hub'!$B$1:$F$65,4,false)</f>
        <v>0</v>
      </c>
      <c r="AP99" s="4" t="str">
        <f>VLOOKUP(AN99,'Team Hub'!$B$1:$F$65,5,false)</f>
        <v/>
      </c>
      <c r="AQ99" s="5" t="s">
        <v>117</v>
      </c>
      <c r="AR99" s="5">
        <f>VLOOKUP(AQ99,'Team Hub'!$B$1:$F$65,4,false)</f>
        <v>0</v>
      </c>
      <c r="AS99" s="4" t="str">
        <f>VLOOKUP(AQ99,'Team Hub'!$B$1:$F$65,5,false)</f>
        <v/>
      </c>
      <c r="AT99" s="5" t="s">
        <v>129</v>
      </c>
      <c r="AU99" s="5">
        <f>VLOOKUP(AT99,'Team Hub'!$B$1:$F$65,4,false)</f>
        <v>0</v>
      </c>
      <c r="AV99" s="4" t="str">
        <f>VLOOKUP(AT99,'Team Hub'!$B$1:$F$65,5,false)</f>
        <v/>
      </c>
      <c r="AW99" s="5" t="s">
        <v>99</v>
      </c>
      <c r="AX99" s="5">
        <f>VLOOKUP(AW99,'Team Hub'!$B$1:$F$65,4,false)</f>
        <v>0</v>
      </c>
      <c r="AY99" s="4" t="str">
        <f>VLOOKUP(AW99,'Team Hub'!$B$1:$F$65,5,false)</f>
        <v/>
      </c>
      <c r="AZ99" s="4" t="s">
        <v>69</v>
      </c>
    </row>
    <row r="100" ht="22.5" customHeight="1">
      <c r="A100" s="4" t="s">
        <v>215</v>
      </c>
      <c r="B100" s="2">
        <f t="shared" ref="B100:C100" si="99">sum(E100+H100+K100+N100+Q100+T100+W100+Z100+AC100+AF100+AI100+AL100+AO100+AR100+AU100+AX100)</f>
        <v>1940</v>
      </c>
      <c r="C100" s="2">
        <f t="shared" si="99"/>
        <v>1</v>
      </c>
      <c r="D100" s="4" t="s">
        <v>71</v>
      </c>
      <c r="E100" s="4">
        <f>VLOOKUP(D100,'Team Hub'!$B$1:$F$65,4,false)</f>
        <v>600</v>
      </c>
      <c r="F100" s="4">
        <f>VLOOKUP(D100,'Team Hub'!$B$1:$F$65,5,false)</f>
        <v>1</v>
      </c>
      <c r="G100" s="5" t="s">
        <v>81</v>
      </c>
      <c r="H100" s="5">
        <f>VLOOKUP(G100,'Team Hub'!$B$1:$F$65,4,false)</f>
        <v>330</v>
      </c>
      <c r="I100" s="4" t="str">
        <f>VLOOKUP(G100,'Team Hub'!$B$1:$F$65,5,false)</f>
        <v/>
      </c>
      <c r="J100" s="5" t="s">
        <v>55</v>
      </c>
      <c r="K100" s="5">
        <f>VLOOKUP(J100,'Team Hub'!$B$1:$F$65,4,false)</f>
        <v>360</v>
      </c>
      <c r="L100" s="4" t="str">
        <f>VLOOKUP(J100,'Team Hub'!$B$1:$F$65,5,false)</f>
        <v/>
      </c>
      <c r="M100" s="5" t="s">
        <v>56</v>
      </c>
      <c r="N100" s="5">
        <f>VLOOKUP(M100,'Team Hub'!$B$1:$F$65,4,false)</f>
        <v>260</v>
      </c>
      <c r="O100" s="5" t="str">
        <f>VLOOKUP(M100,'Team Hub'!$B$1:$F$65,5,false)</f>
        <v/>
      </c>
      <c r="P100" s="5" t="s">
        <v>136</v>
      </c>
      <c r="Q100" s="5">
        <f>VLOOKUP(P100,'Team Hub'!$B$1:$F$65,4,false)</f>
        <v>0</v>
      </c>
      <c r="R100" s="5" t="str">
        <f>VLOOKUP(P100,'Team Hub'!$B$1:$F$65,5,false)</f>
        <v/>
      </c>
      <c r="S100" s="5" t="s">
        <v>113</v>
      </c>
      <c r="T100" s="5">
        <f>VLOOKUP(S100,'Team Hub'!$B$1:$F$65,4,false)</f>
        <v>0</v>
      </c>
      <c r="U100" s="5" t="str">
        <f>VLOOKUP(S100,'Team Hub'!$B$1:$F$65,5,false)</f>
        <v/>
      </c>
      <c r="V100" s="5" t="s">
        <v>83</v>
      </c>
      <c r="W100" s="5">
        <f>VLOOKUP(V100,'Team Hub'!$B$1:$F$65,4,false)</f>
        <v>0</v>
      </c>
      <c r="X100" s="5" t="str">
        <f>VLOOKUP(V100,'Team Hub'!$B$1:$F$65,5,false)</f>
        <v/>
      </c>
      <c r="Y100" s="5" t="s">
        <v>188</v>
      </c>
      <c r="Z100" s="5">
        <f>VLOOKUP(Y100,'Team Hub'!$B$1:$F$65,4,false)</f>
        <v>0</v>
      </c>
      <c r="AA100" s="4" t="str">
        <f>VLOOKUP(Y100,'Team Hub'!$B$1:$F$65,5,false)</f>
        <v/>
      </c>
      <c r="AB100" s="5" t="s">
        <v>94</v>
      </c>
      <c r="AC100" s="5">
        <f>VLOOKUP(AB100,'Team Hub'!$B$1:$F$65,4,false)</f>
        <v>180</v>
      </c>
      <c r="AD100" s="4" t="str">
        <f>VLOOKUP(AB100,'Team Hub'!$B$1:$F$65,5,false)</f>
        <v/>
      </c>
      <c r="AE100" s="5" t="s">
        <v>123</v>
      </c>
      <c r="AF100" s="5">
        <f>VLOOKUP(AE100,'Team Hub'!$B$1:$F$65,4,false)</f>
        <v>0</v>
      </c>
      <c r="AG100" s="4" t="str">
        <f>VLOOKUP(AE100,'Team Hub'!$B$1:$F$65,5,false)</f>
        <v/>
      </c>
      <c r="AH100" s="5" t="s">
        <v>98</v>
      </c>
      <c r="AI100" s="5">
        <f>VLOOKUP(AH100,'Team Hub'!$B$1:$F$65,4,false)</f>
        <v>0</v>
      </c>
      <c r="AJ100" s="4" t="str">
        <f>VLOOKUP(AH100,'Team Hub'!$B$1:$F$65,5,false)</f>
        <v/>
      </c>
      <c r="AK100" s="5" t="s">
        <v>64</v>
      </c>
      <c r="AL100" s="5">
        <f>VLOOKUP(AK100,'Team Hub'!$B$1:$F$65,4,false)</f>
        <v>210</v>
      </c>
      <c r="AM100" s="4" t="str">
        <f>VLOOKUP(AK100,'Team Hub'!$B$1:$F$65,5,false)</f>
        <v/>
      </c>
      <c r="AN100" s="5" t="s">
        <v>88</v>
      </c>
      <c r="AO100" s="5">
        <f>VLOOKUP(AN100,'Team Hub'!$B$1:$F$65,4,false)</f>
        <v>0</v>
      </c>
      <c r="AP100" s="4" t="str">
        <f>VLOOKUP(AN100,'Team Hub'!$B$1:$F$65,5,false)</f>
        <v/>
      </c>
      <c r="AQ100" s="5" t="s">
        <v>89</v>
      </c>
      <c r="AR100" s="5">
        <f>VLOOKUP(AQ100,'Team Hub'!$B$1:$F$65,4,false)</f>
        <v>0</v>
      </c>
      <c r="AS100" s="4" t="str">
        <f>VLOOKUP(AQ100,'Team Hub'!$B$1:$F$65,5,false)</f>
        <v/>
      </c>
      <c r="AT100" s="5" t="s">
        <v>129</v>
      </c>
      <c r="AU100" s="5">
        <f>VLOOKUP(AT100,'Team Hub'!$B$1:$F$65,4,false)</f>
        <v>0</v>
      </c>
      <c r="AV100" s="4" t="str">
        <f>VLOOKUP(AT100,'Team Hub'!$B$1:$F$65,5,false)</f>
        <v/>
      </c>
      <c r="AW100" s="5" t="s">
        <v>68</v>
      </c>
      <c r="AX100" s="5">
        <f>VLOOKUP(AW100,'Team Hub'!$B$1:$F$65,4,false)</f>
        <v>0</v>
      </c>
      <c r="AY100" s="4" t="str">
        <f>VLOOKUP(AW100,'Team Hub'!$B$1:$F$65,5,false)</f>
        <v/>
      </c>
      <c r="AZ100" s="4" t="s">
        <v>69</v>
      </c>
    </row>
    <row r="101" ht="22.5" customHeight="1">
      <c r="A101" s="4" t="s">
        <v>216</v>
      </c>
      <c r="B101" s="2">
        <f t="shared" ref="B101:C101" si="100">sum(E101+H101+K101+N101+Q101+T101+W101+Z101+AC101+AF101+AI101+AL101+AO101+AR101+AU101+AX101)</f>
        <v>1930</v>
      </c>
      <c r="C101" s="2">
        <f t="shared" si="100"/>
        <v>1</v>
      </c>
      <c r="D101" s="4" t="s">
        <v>71</v>
      </c>
      <c r="E101" s="4">
        <f>VLOOKUP(D101,'Team Hub'!$B$1:$F$65,4,false)</f>
        <v>600</v>
      </c>
      <c r="F101" s="4">
        <f>VLOOKUP(D101,'Team Hub'!$B$1:$F$65,5,false)</f>
        <v>1</v>
      </c>
      <c r="G101" s="5" t="s">
        <v>54</v>
      </c>
      <c r="H101" s="5">
        <f>VLOOKUP(G101,'Team Hub'!$B$1:$F$65,4,false)</f>
        <v>330</v>
      </c>
      <c r="I101" s="4" t="str">
        <f>VLOOKUP(G101,'Team Hub'!$B$1:$F$65,5,false)</f>
        <v/>
      </c>
      <c r="J101" s="5" t="s">
        <v>101</v>
      </c>
      <c r="K101" s="5">
        <f>VLOOKUP(J101,'Team Hub'!$B$1:$F$65,4,false)</f>
        <v>120</v>
      </c>
      <c r="L101" s="4" t="str">
        <f>VLOOKUP(J101,'Team Hub'!$B$1:$F$65,5,false)</f>
        <v/>
      </c>
      <c r="M101" s="5" t="s">
        <v>142</v>
      </c>
      <c r="N101" s="5">
        <f>VLOOKUP(M101,'Team Hub'!$B$1:$F$65,4,false)</f>
        <v>130</v>
      </c>
      <c r="O101" s="5" t="str">
        <f>VLOOKUP(M101,'Team Hub'!$B$1:$F$65,5,false)</f>
        <v/>
      </c>
      <c r="P101" s="5" t="s">
        <v>132</v>
      </c>
      <c r="Q101" s="5">
        <f>VLOOKUP(P101,'Team Hub'!$B$1:$F$65,4,false)</f>
        <v>0</v>
      </c>
      <c r="R101" s="5" t="str">
        <f>VLOOKUP(P101,'Team Hub'!$B$1:$F$65,5,false)</f>
        <v/>
      </c>
      <c r="S101" s="5" t="s">
        <v>113</v>
      </c>
      <c r="T101" s="5">
        <f>VLOOKUP(S101,'Team Hub'!$B$1:$F$65,4,false)</f>
        <v>0</v>
      </c>
      <c r="U101" s="5" t="str">
        <f>VLOOKUP(S101,'Team Hub'!$B$1:$F$65,5,false)</f>
        <v/>
      </c>
      <c r="V101" s="5" t="s">
        <v>83</v>
      </c>
      <c r="W101" s="5">
        <f>VLOOKUP(V101,'Team Hub'!$B$1:$F$65,4,false)</f>
        <v>0</v>
      </c>
      <c r="X101" s="5" t="str">
        <f>VLOOKUP(V101,'Team Hub'!$B$1:$F$65,5,false)</f>
        <v/>
      </c>
      <c r="Y101" s="5" t="s">
        <v>76</v>
      </c>
      <c r="Z101" s="5">
        <f>VLOOKUP(Y101,'Team Hub'!$B$1:$F$65,4,false)</f>
        <v>170</v>
      </c>
      <c r="AA101" s="4" t="str">
        <f>VLOOKUP(Y101,'Team Hub'!$B$1:$F$65,5,false)</f>
        <v/>
      </c>
      <c r="AB101" s="5" t="s">
        <v>61</v>
      </c>
      <c r="AC101" s="5">
        <f>VLOOKUP(AB101,'Team Hub'!$B$1:$F$65,4,false)</f>
        <v>180</v>
      </c>
      <c r="AD101" s="4" t="str">
        <f>VLOOKUP(AB101,'Team Hub'!$B$1:$F$65,5,false)</f>
        <v/>
      </c>
      <c r="AE101" s="5" t="s">
        <v>85</v>
      </c>
      <c r="AF101" s="5">
        <f>VLOOKUP(AE101,'Team Hub'!$B$1:$F$65,4,false)</f>
        <v>190</v>
      </c>
      <c r="AG101" s="4" t="str">
        <f>VLOOKUP(AE101,'Team Hub'!$B$1:$F$65,5,false)</f>
        <v/>
      </c>
      <c r="AH101" s="5" t="s">
        <v>98</v>
      </c>
      <c r="AI101" s="5">
        <f>VLOOKUP(AH101,'Team Hub'!$B$1:$F$65,4,false)</f>
        <v>0</v>
      </c>
      <c r="AJ101" s="4" t="str">
        <f>VLOOKUP(AH101,'Team Hub'!$B$1:$F$65,5,false)</f>
        <v/>
      </c>
      <c r="AK101" s="5" t="s">
        <v>64</v>
      </c>
      <c r="AL101" s="5">
        <f>VLOOKUP(AK101,'Team Hub'!$B$1:$F$65,4,false)</f>
        <v>210</v>
      </c>
      <c r="AM101" s="4" t="str">
        <f>VLOOKUP(AK101,'Team Hub'!$B$1:$F$65,5,false)</f>
        <v/>
      </c>
      <c r="AN101" s="5" t="s">
        <v>88</v>
      </c>
      <c r="AO101" s="5">
        <f>VLOOKUP(AN101,'Team Hub'!$B$1:$F$65,4,false)</f>
        <v>0</v>
      </c>
      <c r="AP101" s="4" t="str">
        <f>VLOOKUP(AN101,'Team Hub'!$B$1:$F$65,5,false)</f>
        <v/>
      </c>
      <c r="AQ101" s="5" t="s">
        <v>89</v>
      </c>
      <c r="AR101" s="5">
        <f>VLOOKUP(AQ101,'Team Hub'!$B$1:$F$65,4,false)</f>
        <v>0</v>
      </c>
      <c r="AS101" s="4" t="str">
        <f>VLOOKUP(AQ101,'Team Hub'!$B$1:$F$65,5,false)</f>
        <v/>
      </c>
      <c r="AT101" s="5" t="s">
        <v>79</v>
      </c>
      <c r="AU101" s="5">
        <f>VLOOKUP(AT101,'Team Hub'!$B$1:$F$65,4,false)</f>
        <v>0</v>
      </c>
      <c r="AV101" s="4" t="str">
        <f>VLOOKUP(AT101,'Team Hub'!$B$1:$F$65,5,false)</f>
        <v/>
      </c>
      <c r="AW101" s="5" t="s">
        <v>95</v>
      </c>
      <c r="AX101" s="5">
        <f>VLOOKUP(AW101,'Team Hub'!$B$1:$F$65,4,false)</f>
        <v>0</v>
      </c>
      <c r="AY101" s="4" t="str">
        <f>VLOOKUP(AW101,'Team Hub'!$B$1:$F$65,5,false)</f>
        <v/>
      </c>
      <c r="AZ101" s="4" t="s">
        <v>69</v>
      </c>
    </row>
    <row r="102" ht="22.5" customHeight="1">
      <c r="A102" s="4" t="s">
        <v>217</v>
      </c>
      <c r="B102" s="2">
        <f t="shared" ref="B102:C102" si="101">sum(E102+H102+K102+N102+Q102+T102+W102+Z102+AC102+AF102+AI102+AL102+AO102+AR102+AU102+AX102)</f>
        <v>1930</v>
      </c>
      <c r="C102" s="2">
        <f t="shared" si="101"/>
        <v>0</v>
      </c>
      <c r="D102" s="5" t="s">
        <v>125</v>
      </c>
      <c r="E102" s="5">
        <f>VLOOKUP(D102,'Team Hub'!$B$1:$F$65,4,false)</f>
        <v>500</v>
      </c>
      <c r="F102" s="4" t="str">
        <f>VLOOKUP(D102,'Team Hub'!$B$1:$F$65,5,false)</f>
        <v/>
      </c>
      <c r="G102" s="5" t="s">
        <v>81</v>
      </c>
      <c r="H102" s="5">
        <f>VLOOKUP(G102,'Team Hub'!$B$1:$F$65,4,false)</f>
        <v>330</v>
      </c>
      <c r="I102" s="4" t="str">
        <f>VLOOKUP(G102,'Team Hub'!$B$1:$F$65,5,false)</f>
        <v/>
      </c>
      <c r="J102" s="5" t="s">
        <v>73</v>
      </c>
      <c r="K102" s="5">
        <f>VLOOKUP(J102,'Team Hub'!$B$1:$F$65,4,false)</f>
        <v>240</v>
      </c>
      <c r="L102" s="4" t="str">
        <f>VLOOKUP(J102,'Team Hub'!$B$1:$F$65,5,false)</f>
        <v/>
      </c>
      <c r="M102" s="5" t="s">
        <v>74</v>
      </c>
      <c r="N102" s="5">
        <f>VLOOKUP(M102,'Team Hub'!$B$1:$F$65,4,false)</f>
        <v>260</v>
      </c>
      <c r="O102" s="5" t="str">
        <f>VLOOKUP(M102,'Team Hub'!$B$1:$F$65,5,false)</f>
        <v/>
      </c>
      <c r="P102" s="5" t="s">
        <v>57</v>
      </c>
      <c r="Q102" s="5">
        <f>VLOOKUP(P102,'Team Hub'!$B$1:$F$65,4,false)</f>
        <v>280</v>
      </c>
      <c r="R102" s="5" t="str">
        <f>VLOOKUP(P102,'Team Hub'!$B$1:$F$65,5,false)</f>
        <v/>
      </c>
      <c r="S102" s="5" t="s">
        <v>92</v>
      </c>
      <c r="T102" s="5">
        <f>VLOOKUP(S102,'Team Hub'!$B$1:$F$65,4,false)</f>
        <v>150</v>
      </c>
      <c r="U102" s="5" t="str">
        <f>VLOOKUP(S102,'Team Hub'!$B$1:$F$65,5,false)</f>
        <v/>
      </c>
      <c r="V102" s="5" t="s">
        <v>83</v>
      </c>
      <c r="W102" s="5">
        <f>VLOOKUP(V102,'Team Hub'!$B$1:$F$65,4,false)</f>
        <v>0</v>
      </c>
      <c r="X102" s="5" t="str">
        <f>VLOOKUP(V102,'Team Hub'!$B$1:$F$65,5,false)</f>
        <v/>
      </c>
      <c r="Y102" s="5" t="s">
        <v>76</v>
      </c>
      <c r="Z102" s="5">
        <f>VLOOKUP(Y102,'Team Hub'!$B$1:$F$65,4,false)</f>
        <v>170</v>
      </c>
      <c r="AA102" s="4" t="str">
        <f>VLOOKUP(Y102,'Team Hub'!$B$1:$F$65,5,false)</f>
        <v/>
      </c>
      <c r="AB102" s="5" t="s">
        <v>84</v>
      </c>
      <c r="AC102" s="5">
        <f>VLOOKUP(AB102,'Team Hub'!$B$1:$F$65,4,false)</f>
        <v>0</v>
      </c>
      <c r="AD102" s="4" t="str">
        <f>VLOOKUP(AB102,'Team Hub'!$B$1:$F$65,5,false)</f>
        <v/>
      </c>
      <c r="AE102" s="5" t="s">
        <v>154</v>
      </c>
      <c r="AF102" s="5">
        <f>VLOOKUP(AE102,'Team Hub'!$B$1:$F$65,4,false)</f>
        <v>0</v>
      </c>
      <c r="AG102" s="4" t="str">
        <f>VLOOKUP(AE102,'Team Hub'!$B$1:$F$65,5,false)</f>
        <v/>
      </c>
      <c r="AH102" s="5" t="s">
        <v>63</v>
      </c>
      <c r="AI102" s="5">
        <f>VLOOKUP(AH102,'Team Hub'!$B$1:$F$65,4,false)</f>
        <v>0</v>
      </c>
      <c r="AJ102" s="4" t="str">
        <f>VLOOKUP(AH102,'Team Hub'!$B$1:$F$65,5,false)</f>
        <v/>
      </c>
      <c r="AK102" s="5" t="s">
        <v>138</v>
      </c>
      <c r="AL102" s="5">
        <f>VLOOKUP(AK102,'Team Hub'!$B$1:$F$65,4,false)</f>
        <v>0</v>
      </c>
      <c r="AM102" s="4" t="str">
        <f>VLOOKUP(AK102,'Team Hub'!$B$1:$F$65,5,false)</f>
        <v/>
      </c>
      <c r="AN102" s="5" t="s">
        <v>110</v>
      </c>
      <c r="AO102" s="5">
        <f>VLOOKUP(AN102,'Team Hub'!$B$1:$F$65,4,false)</f>
        <v>0</v>
      </c>
      <c r="AP102" s="4" t="str">
        <f>VLOOKUP(AN102,'Team Hub'!$B$1:$F$65,5,false)</f>
        <v/>
      </c>
      <c r="AQ102" s="5" t="s">
        <v>117</v>
      </c>
      <c r="AR102" s="5">
        <f>VLOOKUP(AQ102,'Team Hub'!$B$1:$F$65,4,false)</f>
        <v>0</v>
      </c>
      <c r="AS102" s="4" t="str">
        <f>VLOOKUP(AQ102,'Team Hub'!$B$1:$F$65,5,false)</f>
        <v/>
      </c>
      <c r="AT102" s="5" t="s">
        <v>67</v>
      </c>
      <c r="AU102" s="5">
        <f>VLOOKUP(AT102,'Team Hub'!$B$1:$F$65,4,false)</f>
        <v>0</v>
      </c>
      <c r="AV102" s="4" t="str">
        <f>VLOOKUP(AT102,'Team Hub'!$B$1:$F$65,5,false)</f>
        <v/>
      </c>
      <c r="AW102" s="5" t="s">
        <v>95</v>
      </c>
      <c r="AX102" s="5">
        <f>VLOOKUP(AW102,'Team Hub'!$B$1:$F$65,4,false)</f>
        <v>0</v>
      </c>
      <c r="AY102" s="4" t="str">
        <f>VLOOKUP(AW102,'Team Hub'!$B$1:$F$65,5,false)</f>
        <v/>
      </c>
      <c r="AZ102" s="4" t="s">
        <v>218</v>
      </c>
    </row>
    <row r="103" ht="22.5" customHeight="1">
      <c r="A103" s="4" t="s">
        <v>143</v>
      </c>
      <c r="B103" s="2">
        <f t="shared" ref="B103:C103" si="102">sum(E103+H103+K103+N103+Q103+T103+W103+Z103+AC103+AF103+AI103+AL103+AO103+AR103+AU103+AX103)</f>
        <v>1920</v>
      </c>
      <c r="C103" s="2">
        <f t="shared" si="102"/>
        <v>0</v>
      </c>
      <c r="D103" s="5" t="s">
        <v>53</v>
      </c>
      <c r="E103" s="5">
        <f>VLOOKUP(D103,'Team Hub'!$B$1:$F$65,4,false)</f>
        <v>400</v>
      </c>
      <c r="F103" s="4" t="str">
        <f>VLOOKUP(D103,'Team Hub'!$B$1:$F$65,5,false)</f>
        <v/>
      </c>
      <c r="G103" s="5" t="s">
        <v>109</v>
      </c>
      <c r="H103" s="5">
        <f>VLOOKUP(G103,'Team Hub'!$B$1:$F$65,4,false)</f>
        <v>110</v>
      </c>
      <c r="I103" s="4" t="str">
        <f>VLOOKUP(G103,'Team Hub'!$B$1:$F$65,5,false)</f>
        <v/>
      </c>
      <c r="J103" s="5" t="s">
        <v>121</v>
      </c>
      <c r="K103" s="5">
        <f>VLOOKUP(J103,'Team Hub'!$B$1:$F$65,4,false)</f>
        <v>120</v>
      </c>
      <c r="L103" s="4" t="str">
        <f>VLOOKUP(J103,'Team Hub'!$B$1:$F$65,5,false)</f>
        <v/>
      </c>
      <c r="M103" s="5" t="s">
        <v>142</v>
      </c>
      <c r="N103" s="5">
        <f>VLOOKUP(M103,'Team Hub'!$B$1:$F$65,4,false)</f>
        <v>130</v>
      </c>
      <c r="O103" s="5" t="str">
        <f>VLOOKUP(M103,'Team Hub'!$B$1:$F$65,5,false)</f>
        <v/>
      </c>
      <c r="P103" s="5" t="s">
        <v>57</v>
      </c>
      <c r="Q103" s="5">
        <f>VLOOKUP(P103,'Team Hub'!$B$1:$F$65,4,false)</f>
        <v>280</v>
      </c>
      <c r="R103" s="5" t="str">
        <f>VLOOKUP(P103,'Team Hub'!$B$1:$F$65,5,false)</f>
        <v/>
      </c>
      <c r="S103" s="5" t="s">
        <v>58</v>
      </c>
      <c r="T103" s="5">
        <f>VLOOKUP(S103,'Team Hub'!$B$1:$F$65,4,false)</f>
        <v>300</v>
      </c>
      <c r="U103" s="5" t="str">
        <f>VLOOKUP(S103,'Team Hub'!$B$1:$F$65,5,false)</f>
        <v/>
      </c>
      <c r="V103" s="5" t="s">
        <v>75</v>
      </c>
      <c r="W103" s="5">
        <f>VLOOKUP(V103,'Team Hub'!$B$1:$F$65,4,false)</f>
        <v>0</v>
      </c>
      <c r="X103" s="5" t="str">
        <f>VLOOKUP(V103,'Team Hub'!$B$1:$F$65,5,false)</f>
        <v/>
      </c>
      <c r="Y103" s="5" t="s">
        <v>126</v>
      </c>
      <c r="Z103" s="5">
        <f>VLOOKUP(Y103,'Team Hub'!$B$1:$F$65,4,false)</f>
        <v>0</v>
      </c>
      <c r="AA103" s="4" t="str">
        <f>VLOOKUP(Y103,'Team Hub'!$B$1:$F$65,5,false)</f>
        <v/>
      </c>
      <c r="AB103" s="5" t="s">
        <v>94</v>
      </c>
      <c r="AC103" s="5">
        <f>VLOOKUP(AB103,'Team Hub'!$B$1:$F$65,4,false)</f>
        <v>180</v>
      </c>
      <c r="AD103" s="4" t="str">
        <f>VLOOKUP(AB103,'Team Hub'!$B$1:$F$65,5,false)</f>
        <v/>
      </c>
      <c r="AE103" s="5" t="s">
        <v>85</v>
      </c>
      <c r="AF103" s="5">
        <f>VLOOKUP(AE103,'Team Hub'!$B$1:$F$65,4,false)</f>
        <v>190</v>
      </c>
      <c r="AG103" s="4" t="str">
        <f>VLOOKUP(AE103,'Team Hub'!$B$1:$F$65,5,false)</f>
        <v/>
      </c>
      <c r="AH103" s="5" t="s">
        <v>98</v>
      </c>
      <c r="AI103" s="5">
        <f>VLOOKUP(AH103,'Team Hub'!$B$1:$F$65,4,false)</f>
        <v>0</v>
      </c>
      <c r="AJ103" s="4" t="str">
        <f>VLOOKUP(AH103,'Team Hub'!$B$1:$F$65,5,false)</f>
        <v/>
      </c>
      <c r="AK103" s="5" t="s">
        <v>64</v>
      </c>
      <c r="AL103" s="5">
        <f>VLOOKUP(AK103,'Team Hub'!$B$1:$F$65,4,false)</f>
        <v>210</v>
      </c>
      <c r="AM103" s="4" t="str">
        <f>VLOOKUP(AK103,'Team Hub'!$B$1:$F$65,5,false)</f>
        <v/>
      </c>
      <c r="AN103" s="5" t="s">
        <v>77</v>
      </c>
      <c r="AO103" s="5">
        <f>VLOOKUP(AN103,'Team Hub'!$B$1:$F$65,4,false)</f>
        <v>0</v>
      </c>
      <c r="AP103" s="4" t="str">
        <f>VLOOKUP(AN103,'Team Hub'!$B$1:$F$65,5,false)</f>
        <v/>
      </c>
      <c r="AQ103" s="5" t="s">
        <v>89</v>
      </c>
      <c r="AR103" s="5">
        <f>VLOOKUP(AQ103,'Team Hub'!$B$1:$F$65,4,false)</f>
        <v>0</v>
      </c>
      <c r="AS103" s="4" t="str">
        <f>VLOOKUP(AQ103,'Team Hub'!$B$1:$F$65,5,false)</f>
        <v/>
      </c>
      <c r="AT103" s="5" t="s">
        <v>129</v>
      </c>
      <c r="AU103" s="5">
        <f>VLOOKUP(AT103,'Team Hub'!$B$1:$F$65,4,false)</f>
        <v>0</v>
      </c>
      <c r="AV103" s="4" t="str">
        <f>VLOOKUP(AT103,'Team Hub'!$B$1:$F$65,5,false)</f>
        <v/>
      </c>
      <c r="AW103" s="5" t="s">
        <v>68</v>
      </c>
      <c r="AX103" s="5">
        <f>VLOOKUP(AW103,'Team Hub'!$B$1:$F$65,4,false)</f>
        <v>0</v>
      </c>
      <c r="AY103" s="4" t="str">
        <f>VLOOKUP(AW103,'Team Hub'!$B$1:$F$65,5,false)</f>
        <v/>
      </c>
      <c r="AZ103" s="4" t="s">
        <v>69</v>
      </c>
    </row>
    <row r="104" ht="22.5" customHeight="1">
      <c r="A104" s="4" t="s">
        <v>219</v>
      </c>
      <c r="B104" s="2">
        <f t="shared" ref="B104:C104" si="103">sum(E104+H104+K104+N104+Q104+T104+W104+Z104+AC104+AF104+AI104+AL104+AO104+AR104+AU104+AX104)</f>
        <v>1910</v>
      </c>
      <c r="C104" s="2">
        <f t="shared" si="103"/>
        <v>0</v>
      </c>
      <c r="D104" s="5" t="s">
        <v>91</v>
      </c>
      <c r="E104" s="5">
        <f>VLOOKUP(D104,'Team Hub'!$B$1:$F$65,4,false)</f>
        <v>400</v>
      </c>
      <c r="F104" s="4" t="str">
        <f>VLOOKUP(D104,'Team Hub'!$B$1:$F$65,5,false)</f>
        <v/>
      </c>
      <c r="G104" s="5" t="s">
        <v>81</v>
      </c>
      <c r="H104" s="5">
        <f>VLOOKUP(G104,'Team Hub'!$B$1:$F$65,4,false)</f>
        <v>330</v>
      </c>
      <c r="I104" s="4" t="str">
        <f>VLOOKUP(G104,'Team Hub'!$B$1:$F$65,5,false)</f>
        <v/>
      </c>
      <c r="J104" s="5" t="s">
        <v>55</v>
      </c>
      <c r="K104" s="5">
        <f>VLOOKUP(J104,'Team Hub'!$B$1:$F$65,4,false)</f>
        <v>360</v>
      </c>
      <c r="L104" s="4" t="str">
        <f>VLOOKUP(J104,'Team Hub'!$B$1:$F$65,5,false)</f>
        <v/>
      </c>
      <c r="M104" s="5" t="s">
        <v>97</v>
      </c>
      <c r="N104" s="5">
        <f>VLOOKUP(M104,'Team Hub'!$B$1:$F$65,4,false)</f>
        <v>260</v>
      </c>
      <c r="O104" s="5" t="str">
        <f>VLOOKUP(M104,'Team Hub'!$B$1:$F$65,5,false)</f>
        <v/>
      </c>
      <c r="P104" s="5" t="s">
        <v>132</v>
      </c>
      <c r="Q104" s="5">
        <f>VLOOKUP(P104,'Team Hub'!$B$1:$F$65,4,false)</f>
        <v>0</v>
      </c>
      <c r="R104" s="5" t="str">
        <f>VLOOKUP(P104,'Team Hub'!$B$1:$F$65,5,false)</f>
        <v/>
      </c>
      <c r="S104" s="5" t="s">
        <v>113</v>
      </c>
      <c r="T104" s="5">
        <f>VLOOKUP(S104,'Team Hub'!$B$1:$F$65,4,false)</f>
        <v>0</v>
      </c>
      <c r="U104" s="5" t="str">
        <f>VLOOKUP(S104,'Team Hub'!$B$1:$F$65,5,false)</f>
        <v/>
      </c>
      <c r="V104" s="5" t="s">
        <v>83</v>
      </c>
      <c r="W104" s="5">
        <f>VLOOKUP(V104,'Team Hub'!$B$1:$F$65,4,false)</f>
        <v>0</v>
      </c>
      <c r="X104" s="5" t="str">
        <f>VLOOKUP(V104,'Team Hub'!$B$1:$F$65,5,false)</f>
        <v/>
      </c>
      <c r="Y104" s="5" t="s">
        <v>76</v>
      </c>
      <c r="Z104" s="5">
        <f>VLOOKUP(Y104,'Team Hub'!$B$1:$F$65,4,false)</f>
        <v>170</v>
      </c>
      <c r="AA104" s="4" t="str">
        <f>VLOOKUP(Y104,'Team Hub'!$B$1:$F$65,5,false)</f>
        <v/>
      </c>
      <c r="AB104" s="5" t="s">
        <v>94</v>
      </c>
      <c r="AC104" s="5">
        <f>VLOOKUP(AB104,'Team Hub'!$B$1:$F$65,4,false)</f>
        <v>180</v>
      </c>
      <c r="AD104" s="4" t="str">
        <f>VLOOKUP(AB104,'Team Hub'!$B$1:$F$65,5,false)</f>
        <v/>
      </c>
      <c r="AE104" s="5" t="s">
        <v>123</v>
      </c>
      <c r="AF104" s="5">
        <f>VLOOKUP(AE104,'Team Hub'!$B$1:$F$65,4,false)</f>
        <v>0</v>
      </c>
      <c r="AG104" s="4" t="str">
        <f>VLOOKUP(AE104,'Team Hub'!$B$1:$F$65,5,false)</f>
        <v/>
      </c>
      <c r="AH104" s="5" t="s">
        <v>116</v>
      </c>
      <c r="AI104" s="5">
        <f>VLOOKUP(AH104,'Team Hub'!$B$1:$F$65,4,false)</f>
        <v>0</v>
      </c>
      <c r="AJ104" s="4" t="str">
        <f>VLOOKUP(AH104,'Team Hub'!$B$1:$F$65,5,false)</f>
        <v/>
      </c>
      <c r="AK104" s="5" t="s">
        <v>64</v>
      </c>
      <c r="AL104" s="5">
        <f>VLOOKUP(AK104,'Team Hub'!$B$1:$F$65,4,false)</f>
        <v>210</v>
      </c>
      <c r="AM104" s="4" t="str">
        <f>VLOOKUP(AK104,'Team Hub'!$B$1:$F$65,5,false)</f>
        <v/>
      </c>
      <c r="AN104" s="5" t="s">
        <v>77</v>
      </c>
      <c r="AO104" s="5">
        <f>VLOOKUP(AN104,'Team Hub'!$B$1:$F$65,4,false)</f>
        <v>0</v>
      </c>
      <c r="AP104" s="4" t="str">
        <f>VLOOKUP(AN104,'Team Hub'!$B$1:$F$65,5,false)</f>
        <v/>
      </c>
      <c r="AQ104" s="5" t="s">
        <v>89</v>
      </c>
      <c r="AR104" s="5">
        <f>VLOOKUP(AQ104,'Team Hub'!$B$1:$F$65,4,false)</f>
        <v>0</v>
      </c>
      <c r="AS104" s="4" t="str">
        <f>VLOOKUP(AQ104,'Team Hub'!$B$1:$F$65,5,false)</f>
        <v/>
      </c>
      <c r="AT104" s="5" t="s">
        <v>67</v>
      </c>
      <c r="AU104" s="5">
        <f>VLOOKUP(AT104,'Team Hub'!$B$1:$F$65,4,false)</f>
        <v>0</v>
      </c>
      <c r="AV104" s="4" t="str">
        <f>VLOOKUP(AT104,'Team Hub'!$B$1:$F$65,5,false)</f>
        <v/>
      </c>
      <c r="AW104" s="5" t="s">
        <v>95</v>
      </c>
      <c r="AX104" s="5">
        <f>VLOOKUP(AW104,'Team Hub'!$B$1:$F$65,4,false)</f>
        <v>0</v>
      </c>
      <c r="AY104" s="4" t="str">
        <f>VLOOKUP(AW104,'Team Hub'!$B$1:$F$65,5,false)</f>
        <v/>
      </c>
      <c r="AZ104" s="4" t="s">
        <v>69</v>
      </c>
    </row>
    <row r="105" ht="22.5" customHeight="1">
      <c r="A105" s="4" t="s">
        <v>220</v>
      </c>
      <c r="B105" s="2">
        <f t="shared" ref="B105:C105" si="104">sum(E105+H105+K105+N105+Q105+T105+W105+Z105+AC105+AF105+AI105+AL105+AO105+AR105+AU105+AX105)</f>
        <v>1860</v>
      </c>
      <c r="C105" s="2">
        <f t="shared" si="104"/>
        <v>0</v>
      </c>
      <c r="D105" s="5" t="s">
        <v>53</v>
      </c>
      <c r="E105" s="5">
        <f>VLOOKUP(D105,'Team Hub'!$B$1:$F$65,4,false)</f>
        <v>400</v>
      </c>
      <c r="F105" s="4" t="str">
        <f>VLOOKUP(D105,'Team Hub'!$B$1:$F$65,5,false)</f>
        <v/>
      </c>
      <c r="G105" s="5" t="s">
        <v>54</v>
      </c>
      <c r="H105" s="5">
        <f>VLOOKUP(G105,'Team Hub'!$B$1:$F$65,4,false)</f>
        <v>330</v>
      </c>
      <c r="I105" s="4" t="str">
        <f>VLOOKUP(G105,'Team Hub'!$B$1:$F$65,5,false)</f>
        <v/>
      </c>
      <c r="J105" s="5" t="s">
        <v>55</v>
      </c>
      <c r="K105" s="5">
        <f>VLOOKUP(J105,'Team Hub'!$B$1:$F$65,4,false)</f>
        <v>360</v>
      </c>
      <c r="L105" s="4" t="str">
        <f>VLOOKUP(J105,'Team Hub'!$B$1:$F$65,5,false)</f>
        <v/>
      </c>
      <c r="M105" s="5" t="s">
        <v>56</v>
      </c>
      <c r="N105" s="5">
        <f>VLOOKUP(M105,'Team Hub'!$B$1:$F$65,4,false)</f>
        <v>260</v>
      </c>
      <c r="O105" s="5" t="str">
        <f>VLOOKUP(M105,'Team Hub'!$B$1:$F$65,5,false)</f>
        <v/>
      </c>
      <c r="P105" s="5" t="s">
        <v>132</v>
      </c>
      <c r="Q105" s="5">
        <f>VLOOKUP(P105,'Team Hub'!$B$1:$F$65,4,false)</f>
        <v>0</v>
      </c>
      <c r="R105" s="5" t="str">
        <f>VLOOKUP(P105,'Team Hub'!$B$1:$F$65,5,false)</f>
        <v/>
      </c>
      <c r="S105" s="5" t="s">
        <v>113</v>
      </c>
      <c r="T105" s="5">
        <f>VLOOKUP(S105,'Team Hub'!$B$1:$F$65,4,false)</f>
        <v>0</v>
      </c>
      <c r="U105" s="5" t="str">
        <f>VLOOKUP(S105,'Team Hub'!$B$1:$F$65,5,false)</f>
        <v/>
      </c>
      <c r="V105" s="5" t="s">
        <v>93</v>
      </c>
      <c r="W105" s="5">
        <f>VLOOKUP(V105,'Team Hub'!$B$1:$F$65,4,false)</f>
        <v>160</v>
      </c>
      <c r="X105" s="5" t="str">
        <f>VLOOKUP(V105,'Team Hub'!$B$1:$F$65,5,false)</f>
        <v/>
      </c>
      <c r="Y105" s="5" t="s">
        <v>76</v>
      </c>
      <c r="Z105" s="5">
        <f>VLOOKUP(Y105,'Team Hub'!$B$1:$F$65,4,false)</f>
        <v>170</v>
      </c>
      <c r="AA105" s="4" t="str">
        <f>VLOOKUP(Y105,'Team Hub'!$B$1:$F$65,5,false)</f>
        <v/>
      </c>
      <c r="AB105" s="5" t="s">
        <v>61</v>
      </c>
      <c r="AC105" s="5">
        <f>VLOOKUP(AB105,'Team Hub'!$B$1:$F$65,4,false)</f>
        <v>180</v>
      </c>
      <c r="AD105" s="4" t="str">
        <f>VLOOKUP(AB105,'Team Hub'!$B$1:$F$65,5,false)</f>
        <v/>
      </c>
      <c r="AE105" s="5" t="s">
        <v>123</v>
      </c>
      <c r="AF105" s="5">
        <f>VLOOKUP(AE105,'Team Hub'!$B$1:$F$65,4,false)</f>
        <v>0</v>
      </c>
      <c r="AG105" s="4" t="str">
        <f>VLOOKUP(AE105,'Team Hub'!$B$1:$F$65,5,false)</f>
        <v/>
      </c>
      <c r="AH105" s="5" t="s">
        <v>98</v>
      </c>
      <c r="AI105" s="5">
        <f>VLOOKUP(AH105,'Team Hub'!$B$1:$F$65,4,false)</f>
        <v>0</v>
      </c>
      <c r="AJ105" s="4" t="str">
        <f>VLOOKUP(AH105,'Team Hub'!$B$1:$F$65,5,false)</f>
        <v/>
      </c>
      <c r="AK105" s="5" t="s">
        <v>107</v>
      </c>
      <c r="AL105" s="5">
        <f>VLOOKUP(AK105,'Team Hub'!$B$1:$F$65,4,false)</f>
        <v>0</v>
      </c>
      <c r="AM105" s="4" t="str">
        <f>VLOOKUP(AK105,'Team Hub'!$B$1:$F$65,5,false)</f>
        <v/>
      </c>
      <c r="AN105" s="5" t="s">
        <v>88</v>
      </c>
      <c r="AO105" s="5">
        <f>VLOOKUP(AN105,'Team Hub'!$B$1:$F$65,4,false)</f>
        <v>0</v>
      </c>
      <c r="AP105" s="4" t="str">
        <f>VLOOKUP(AN105,'Team Hub'!$B$1:$F$65,5,false)</f>
        <v/>
      </c>
      <c r="AQ105" s="5" t="s">
        <v>66</v>
      </c>
      <c r="AR105" s="5">
        <f>VLOOKUP(AQ105,'Team Hub'!$B$1:$F$65,4,false)</f>
        <v>0</v>
      </c>
      <c r="AS105" s="4" t="str">
        <f>VLOOKUP(AQ105,'Team Hub'!$B$1:$F$65,5,false)</f>
        <v/>
      </c>
      <c r="AT105" s="5" t="s">
        <v>105</v>
      </c>
      <c r="AU105" s="5">
        <f>VLOOKUP(AT105,'Team Hub'!$B$1:$F$65,4,false)</f>
        <v>0</v>
      </c>
      <c r="AV105" s="5" t="str">
        <f>VLOOKUP(AT105,'Team Hub'!$B$1:$F$65,5,false)</f>
        <v/>
      </c>
      <c r="AW105" s="5" t="s">
        <v>68</v>
      </c>
      <c r="AX105" s="5">
        <f>VLOOKUP(AW105,'Team Hub'!$B$1:$F$65,4,false)</f>
        <v>0</v>
      </c>
      <c r="AY105" s="4" t="str">
        <f>VLOOKUP(AW105,'Team Hub'!$B$1:$F$65,5,false)</f>
        <v/>
      </c>
      <c r="AZ105" s="4" t="s">
        <v>69</v>
      </c>
    </row>
    <row r="106" ht="22.5" customHeight="1">
      <c r="A106" s="4" t="s">
        <v>221</v>
      </c>
      <c r="B106" s="2">
        <f t="shared" ref="B106:C106" si="105">sum(E106+H106+K106+N106+Q106+T106+W106+Z106+AC106+AF106+AI106+AL106+AO106+AR106+AU106+AX106)</f>
        <v>1840</v>
      </c>
      <c r="C106" s="2">
        <f t="shared" si="105"/>
        <v>0</v>
      </c>
      <c r="D106" s="5" t="s">
        <v>53</v>
      </c>
      <c r="E106" s="5">
        <f>VLOOKUP(D106,'Team Hub'!$B$1:$F$65,4,false)</f>
        <v>400</v>
      </c>
      <c r="F106" s="4" t="str">
        <f>VLOOKUP(D106,'Team Hub'!$B$1:$F$65,5,false)</f>
        <v/>
      </c>
      <c r="G106" s="5" t="s">
        <v>72</v>
      </c>
      <c r="H106" s="5">
        <f>VLOOKUP(G106,'Team Hub'!$B$1:$F$65,4,false)</f>
        <v>330</v>
      </c>
      <c r="I106" s="5" t="str">
        <f>VLOOKUP(G106,'Team Hub'!$B$1:$F$65,5,false)</f>
        <v/>
      </c>
      <c r="J106" s="5" t="s">
        <v>121</v>
      </c>
      <c r="K106" s="5">
        <f>VLOOKUP(J106,'Team Hub'!$B$1:$F$65,4,false)</f>
        <v>120</v>
      </c>
      <c r="L106" s="4" t="str">
        <f>VLOOKUP(J106,'Team Hub'!$B$1:$F$65,5,false)</f>
        <v/>
      </c>
      <c r="M106" s="5" t="s">
        <v>56</v>
      </c>
      <c r="N106" s="5">
        <f>VLOOKUP(M106,'Team Hub'!$B$1:$F$65,4,false)</f>
        <v>260</v>
      </c>
      <c r="O106" s="5" t="str">
        <f>VLOOKUP(M106,'Team Hub'!$B$1:$F$65,5,false)</f>
        <v/>
      </c>
      <c r="P106" s="5" t="s">
        <v>132</v>
      </c>
      <c r="Q106" s="5">
        <f>VLOOKUP(P106,'Team Hub'!$B$1:$F$65,4,false)</f>
        <v>0</v>
      </c>
      <c r="R106" s="5" t="str">
        <f>VLOOKUP(P106,'Team Hub'!$B$1:$F$65,5,false)</f>
        <v/>
      </c>
      <c r="S106" s="5" t="s">
        <v>92</v>
      </c>
      <c r="T106" s="5">
        <f>VLOOKUP(S106,'Team Hub'!$B$1:$F$65,4,false)</f>
        <v>150</v>
      </c>
      <c r="U106" s="5" t="str">
        <f>VLOOKUP(S106,'Team Hub'!$B$1:$F$65,5,false)</f>
        <v/>
      </c>
      <c r="V106" s="5" t="s">
        <v>75</v>
      </c>
      <c r="W106" s="5">
        <f>VLOOKUP(V106,'Team Hub'!$B$1:$F$65,4,false)</f>
        <v>0</v>
      </c>
      <c r="X106" s="5" t="str">
        <f>VLOOKUP(V106,'Team Hub'!$B$1:$F$65,5,false)</f>
        <v/>
      </c>
      <c r="Y106" s="5" t="s">
        <v>60</v>
      </c>
      <c r="Z106" s="5">
        <f>VLOOKUP(Y106,'Team Hub'!$B$1:$F$65,4,false)</f>
        <v>170</v>
      </c>
      <c r="AA106" s="4" t="str">
        <f>VLOOKUP(Y106,'Team Hub'!$B$1:$F$65,5,false)</f>
        <v/>
      </c>
      <c r="AB106" s="5" t="s">
        <v>114</v>
      </c>
      <c r="AC106" s="5">
        <f>VLOOKUP(AB106,'Team Hub'!$B$1:$F$65,4,false)</f>
        <v>0</v>
      </c>
      <c r="AD106" s="4" t="str">
        <f>VLOOKUP(AB106,'Team Hub'!$B$1:$F$65,5,false)</f>
        <v/>
      </c>
      <c r="AE106" s="5" t="s">
        <v>123</v>
      </c>
      <c r="AF106" s="5">
        <f>VLOOKUP(AE106,'Team Hub'!$B$1:$F$65,4,false)</f>
        <v>0</v>
      </c>
      <c r="AG106" s="4" t="str">
        <f>VLOOKUP(AE106,'Team Hub'!$B$1:$F$65,5,false)</f>
        <v/>
      </c>
      <c r="AH106" s="5" t="s">
        <v>86</v>
      </c>
      <c r="AI106" s="5">
        <f>VLOOKUP(AH106,'Team Hub'!$B$1:$F$65,4,false)</f>
        <v>200</v>
      </c>
      <c r="AJ106" s="4" t="str">
        <f>VLOOKUP(AH106,'Team Hub'!$B$1:$F$65,5,false)</f>
        <v/>
      </c>
      <c r="AK106" s="5" t="s">
        <v>64</v>
      </c>
      <c r="AL106" s="5">
        <f>VLOOKUP(AK106,'Team Hub'!$B$1:$F$65,4,false)</f>
        <v>210</v>
      </c>
      <c r="AM106" s="4" t="str">
        <f>VLOOKUP(AK106,'Team Hub'!$B$1:$F$65,5,false)</f>
        <v/>
      </c>
      <c r="AN106" s="5" t="s">
        <v>65</v>
      </c>
      <c r="AO106" s="5">
        <f>VLOOKUP(AN106,'Team Hub'!$B$1:$F$65,4,false)</f>
        <v>0</v>
      </c>
      <c r="AP106" s="4" t="str">
        <f>VLOOKUP(AN106,'Team Hub'!$B$1:$F$65,5,false)</f>
        <v/>
      </c>
      <c r="AQ106" s="5" t="s">
        <v>66</v>
      </c>
      <c r="AR106" s="5">
        <f>VLOOKUP(AQ106,'Team Hub'!$B$1:$F$65,4,false)</f>
        <v>0</v>
      </c>
      <c r="AS106" s="4" t="str">
        <f>VLOOKUP(AQ106,'Team Hub'!$B$1:$F$65,5,false)</f>
        <v/>
      </c>
      <c r="AT106" s="5" t="s">
        <v>105</v>
      </c>
      <c r="AU106" s="5">
        <f>VLOOKUP(AT106,'Team Hub'!$B$1:$F$65,4,false)</f>
        <v>0</v>
      </c>
      <c r="AV106" s="5" t="str">
        <f>VLOOKUP(AT106,'Team Hub'!$B$1:$F$65,5,false)</f>
        <v/>
      </c>
      <c r="AW106" s="5" t="s">
        <v>95</v>
      </c>
      <c r="AX106" s="5">
        <f>VLOOKUP(AW106,'Team Hub'!$B$1:$F$65,4,false)</f>
        <v>0</v>
      </c>
      <c r="AY106" s="4" t="str">
        <f>VLOOKUP(AW106,'Team Hub'!$B$1:$F$65,5,false)</f>
        <v/>
      </c>
      <c r="AZ106" s="4" t="s">
        <v>69</v>
      </c>
    </row>
    <row r="107" ht="22.5" customHeight="1">
      <c r="A107" s="4" t="s">
        <v>222</v>
      </c>
      <c r="B107" s="2">
        <f t="shared" ref="B107:C107" si="106">sum(E107+H107+K107+N107+Q107+T107+W107+Z107+AC107+AF107+AI107+AL107+AO107+AR107+AU107+AX107)</f>
        <v>1840</v>
      </c>
      <c r="C107" s="2">
        <f t="shared" si="106"/>
        <v>0</v>
      </c>
      <c r="D107" s="5" t="s">
        <v>53</v>
      </c>
      <c r="E107" s="5">
        <f>VLOOKUP(D107,'Team Hub'!$B$1:$F$65,4,false)</f>
        <v>400</v>
      </c>
      <c r="F107" s="4" t="str">
        <f>VLOOKUP(D107,'Team Hub'!$B$1:$F$65,5,false)</f>
        <v/>
      </c>
      <c r="G107" s="5" t="s">
        <v>54</v>
      </c>
      <c r="H107" s="5">
        <f>VLOOKUP(G107,'Team Hub'!$B$1:$F$65,4,false)</f>
        <v>330</v>
      </c>
      <c r="I107" s="4" t="str">
        <f>VLOOKUP(G107,'Team Hub'!$B$1:$F$65,5,false)</f>
        <v/>
      </c>
      <c r="J107" s="5" t="s">
        <v>121</v>
      </c>
      <c r="K107" s="5">
        <f>VLOOKUP(J107,'Team Hub'!$B$1:$F$65,4,false)</f>
        <v>120</v>
      </c>
      <c r="L107" s="4" t="str">
        <f>VLOOKUP(J107,'Team Hub'!$B$1:$F$65,5,false)</f>
        <v/>
      </c>
      <c r="M107" s="5" t="s">
        <v>97</v>
      </c>
      <c r="N107" s="5">
        <f>VLOOKUP(M107,'Team Hub'!$B$1:$F$65,4,false)</f>
        <v>260</v>
      </c>
      <c r="O107" s="5" t="str">
        <f>VLOOKUP(M107,'Team Hub'!$B$1:$F$65,5,false)</f>
        <v/>
      </c>
      <c r="P107" s="5" t="s">
        <v>132</v>
      </c>
      <c r="Q107" s="5">
        <f>VLOOKUP(P107,'Team Hub'!$B$1:$F$65,4,false)</f>
        <v>0</v>
      </c>
      <c r="R107" s="5" t="str">
        <f>VLOOKUP(P107,'Team Hub'!$B$1:$F$65,5,false)</f>
        <v/>
      </c>
      <c r="S107" s="5" t="s">
        <v>113</v>
      </c>
      <c r="T107" s="5">
        <f>VLOOKUP(S107,'Team Hub'!$B$1:$F$65,4,false)</f>
        <v>0</v>
      </c>
      <c r="U107" s="5" t="str">
        <f>VLOOKUP(S107,'Team Hub'!$B$1:$F$65,5,false)</f>
        <v/>
      </c>
      <c r="V107" s="5" t="s">
        <v>83</v>
      </c>
      <c r="W107" s="5">
        <f>VLOOKUP(V107,'Team Hub'!$B$1:$F$65,4,false)</f>
        <v>0</v>
      </c>
      <c r="X107" s="5" t="str">
        <f>VLOOKUP(V107,'Team Hub'!$B$1:$F$65,5,false)</f>
        <v/>
      </c>
      <c r="Y107" s="5" t="s">
        <v>76</v>
      </c>
      <c r="Z107" s="5">
        <f>VLOOKUP(Y107,'Team Hub'!$B$1:$F$65,4,false)</f>
        <v>170</v>
      </c>
      <c r="AA107" s="4" t="str">
        <f>VLOOKUP(Y107,'Team Hub'!$B$1:$F$65,5,false)</f>
        <v/>
      </c>
      <c r="AB107" s="5" t="s">
        <v>94</v>
      </c>
      <c r="AC107" s="5">
        <f>VLOOKUP(AB107,'Team Hub'!$B$1:$F$65,4,false)</f>
        <v>180</v>
      </c>
      <c r="AD107" s="4" t="str">
        <f>VLOOKUP(AB107,'Team Hub'!$B$1:$F$65,5,false)</f>
        <v/>
      </c>
      <c r="AE107" s="5" t="s">
        <v>62</v>
      </c>
      <c r="AF107" s="5">
        <f>VLOOKUP(AE107,'Team Hub'!$B$1:$F$65,4,false)</f>
        <v>380</v>
      </c>
      <c r="AG107" s="4" t="str">
        <f>VLOOKUP(AE107,'Team Hub'!$B$1:$F$65,5,false)</f>
        <v/>
      </c>
      <c r="AH107" s="5" t="s">
        <v>116</v>
      </c>
      <c r="AI107" s="5">
        <f>VLOOKUP(AH107,'Team Hub'!$B$1:$F$65,4,false)</f>
        <v>0</v>
      </c>
      <c r="AJ107" s="4" t="str">
        <f>VLOOKUP(AH107,'Team Hub'!$B$1:$F$65,5,false)</f>
        <v/>
      </c>
      <c r="AK107" s="5" t="s">
        <v>107</v>
      </c>
      <c r="AL107" s="5">
        <f>VLOOKUP(AK107,'Team Hub'!$B$1:$F$65,4,false)</f>
        <v>0</v>
      </c>
      <c r="AM107" s="4" t="str">
        <f>VLOOKUP(AK107,'Team Hub'!$B$1:$F$65,5,false)</f>
        <v/>
      </c>
      <c r="AN107" s="5" t="s">
        <v>88</v>
      </c>
      <c r="AO107" s="5">
        <f>VLOOKUP(AN107,'Team Hub'!$B$1:$F$65,4,false)</f>
        <v>0</v>
      </c>
      <c r="AP107" s="4" t="str">
        <f>VLOOKUP(AN107,'Team Hub'!$B$1:$F$65,5,false)</f>
        <v/>
      </c>
      <c r="AQ107" s="5" t="s">
        <v>89</v>
      </c>
      <c r="AR107" s="5">
        <f>VLOOKUP(AQ107,'Team Hub'!$B$1:$F$65,4,false)</f>
        <v>0</v>
      </c>
      <c r="AS107" s="4" t="str">
        <f>VLOOKUP(AQ107,'Team Hub'!$B$1:$F$65,5,false)</f>
        <v/>
      </c>
      <c r="AT107" s="5" t="s">
        <v>129</v>
      </c>
      <c r="AU107" s="5">
        <f>VLOOKUP(AT107,'Team Hub'!$B$1:$F$65,4,false)</f>
        <v>0</v>
      </c>
      <c r="AV107" s="4" t="str">
        <f>VLOOKUP(AT107,'Team Hub'!$B$1:$F$65,5,false)</f>
        <v/>
      </c>
      <c r="AW107" s="5" t="s">
        <v>99</v>
      </c>
      <c r="AX107" s="5">
        <f>VLOOKUP(AW107,'Team Hub'!$B$1:$F$65,4,false)</f>
        <v>0</v>
      </c>
      <c r="AY107" s="4" t="str">
        <f>VLOOKUP(AW107,'Team Hub'!$B$1:$F$65,5,false)</f>
        <v/>
      </c>
      <c r="AZ107" s="4" t="s">
        <v>69</v>
      </c>
    </row>
    <row r="108" ht="22.5" customHeight="1">
      <c r="A108" s="4" t="s">
        <v>223</v>
      </c>
      <c r="B108" s="2">
        <f t="shared" ref="B108:C108" si="107">sum(E108+H108+K108+N108+Q108+T108+W108+Z108+AC108+AF108+AI108+AL108+AO108+AR108+AU108+AX108)</f>
        <v>1840</v>
      </c>
      <c r="C108" s="2">
        <f t="shared" si="107"/>
        <v>1</v>
      </c>
      <c r="D108" s="4" t="s">
        <v>71</v>
      </c>
      <c r="E108" s="4">
        <f>VLOOKUP(D108,'Team Hub'!$B$1:$F$65,4,false)</f>
        <v>600</v>
      </c>
      <c r="F108" s="4">
        <f>VLOOKUP(D108,'Team Hub'!$B$1:$F$65,5,false)</f>
        <v>1</v>
      </c>
      <c r="G108" s="5" t="s">
        <v>109</v>
      </c>
      <c r="H108" s="5">
        <f>VLOOKUP(G108,'Team Hub'!$B$1:$F$65,4,false)</f>
        <v>110</v>
      </c>
      <c r="I108" s="4" t="str">
        <f>VLOOKUP(G108,'Team Hub'!$B$1:$F$65,5,false)</f>
        <v/>
      </c>
      <c r="J108" s="5" t="s">
        <v>101</v>
      </c>
      <c r="K108" s="5">
        <f>VLOOKUP(J108,'Team Hub'!$B$1:$F$65,4,false)</f>
        <v>120</v>
      </c>
      <c r="L108" s="4" t="str">
        <f>VLOOKUP(J108,'Team Hub'!$B$1:$F$65,5,false)</f>
        <v/>
      </c>
      <c r="M108" s="5" t="s">
        <v>97</v>
      </c>
      <c r="N108" s="5">
        <f>VLOOKUP(M108,'Team Hub'!$B$1:$F$65,4,false)</f>
        <v>260</v>
      </c>
      <c r="O108" s="5" t="str">
        <f>VLOOKUP(M108,'Team Hub'!$B$1:$F$65,5,false)</f>
        <v/>
      </c>
      <c r="P108" s="5" t="s">
        <v>132</v>
      </c>
      <c r="Q108" s="5">
        <f>VLOOKUP(P108,'Team Hub'!$B$1:$F$65,4,false)</f>
        <v>0</v>
      </c>
      <c r="R108" s="5" t="str">
        <f>VLOOKUP(P108,'Team Hub'!$B$1:$F$65,5,false)</f>
        <v/>
      </c>
      <c r="S108" s="5" t="s">
        <v>113</v>
      </c>
      <c r="T108" s="5">
        <f>VLOOKUP(S108,'Team Hub'!$B$1:$F$65,4,false)</f>
        <v>0</v>
      </c>
      <c r="U108" s="5" t="str">
        <f>VLOOKUP(S108,'Team Hub'!$B$1:$F$65,5,false)</f>
        <v/>
      </c>
      <c r="V108" s="5" t="s">
        <v>75</v>
      </c>
      <c r="W108" s="5">
        <f>VLOOKUP(V108,'Team Hub'!$B$1:$F$65,4,false)</f>
        <v>0</v>
      </c>
      <c r="X108" s="5" t="str">
        <f>VLOOKUP(V108,'Team Hub'!$B$1:$F$65,5,false)</f>
        <v/>
      </c>
      <c r="Y108" s="5" t="s">
        <v>76</v>
      </c>
      <c r="Z108" s="5">
        <f>VLOOKUP(Y108,'Team Hub'!$B$1:$F$65,4,false)</f>
        <v>170</v>
      </c>
      <c r="AA108" s="4" t="str">
        <f>VLOOKUP(Y108,'Team Hub'!$B$1:$F$65,5,false)</f>
        <v/>
      </c>
      <c r="AB108" s="5" t="s">
        <v>94</v>
      </c>
      <c r="AC108" s="5">
        <f>VLOOKUP(AB108,'Team Hub'!$B$1:$F$65,4,false)</f>
        <v>180</v>
      </c>
      <c r="AD108" s="4" t="str">
        <f>VLOOKUP(AB108,'Team Hub'!$B$1:$F$65,5,false)</f>
        <v/>
      </c>
      <c r="AE108" s="5" t="s">
        <v>85</v>
      </c>
      <c r="AF108" s="5">
        <f>VLOOKUP(AE108,'Team Hub'!$B$1:$F$65,4,false)</f>
        <v>190</v>
      </c>
      <c r="AG108" s="4" t="str">
        <f>VLOOKUP(AE108,'Team Hub'!$B$1:$F$65,5,false)</f>
        <v/>
      </c>
      <c r="AH108" s="5" t="s">
        <v>116</v>
      </c>
      <c r="AI108" s="5">
        <f>VLOOKUP(AH108,'Team Hub'!$B$1:$F$65,4,false)</f>
        <v>0</v>
      </c>
      <c r="AJ108" s="4" t="str">
        <f>VLOOKUP(AH108,'Team Hub'!$B$1:$F$65,5,false)</f>
        <v/>
      </c>
      <c r="AK108" s="5" t="s">
        <v>64</v>
      </c>
      <c r="AL108" s="5">
        <f>VLOOKUP(AK108,'Team Hub'!$B$1:$F$65,4,false)</f>
        <v>210</v>
      </c>
      <c r="AM108" s="4" t="str">
        <f>VLOOKUP(AK108,'Team Hub'!$B$1:$F$65,5,false)</f>
        <v/>
      </c>
      <c r="AN108" s="5" t="s">
        <v>88</v>
      </c>
      <c r="AO108" s="5">
        <f>VLOOKUP(AN108,'Team Hub'!$B$1:$F$65,4,false)</f>
        <v>0</v>
      </c>
      <c r="AP108" s="4" t="str">
        <f>VLOOKUP(AN108,'Team Hub'!$B$1:$F$65,5,false)</f>
        <v/>
      </c>
      <c r="AQ108" s="5" t="s">
        <v>66</v>
      </c>
      <c r="AR108" s="5">
        <f>VLOOKUP(AQ108,'Team Hub'!$B$1:$F$65,4,false)</f>
        <v>0</v>
      </c>
      <c r="AS108" s="4" t="str">
        <f>VLOOKUP(AQ108,'Team Hub'!$B$1:$F$65,5,false)</f>
        <v/>
      </c>
      <c r="AT108" s="5" t="s">
        <v>79</v>
      </c>
      <c r="AU108" s="5">
        <f>VLOOKUP(AT108,'Team Hub'!$B$1:$F$65,4,false)</f>
        <v>0</v>
      </c>
      <c r="AV108" s="4" t="str">
        <f>VLOOKUP(AT108,'Team Hub'!$B$1:$F$65,5,false)</f>
        <v/>
      </c>
      <c r="AW108" s="5" t="s">
        <v>68</v>
      </c>
      <c r="AX108" s="5">
        <f>VLOOKUP(AW108,'Team Hub'!$B$1:$F$65,4,false)</f>
        <v>0</v>
      </c>
      <c r="AY108" s="4" t="str">
        <f>VLOOKUP(AW108,'Team Hub'!$B$1:$F$65,5,false)</f>
        <v/>
      </c>
      <c r="AZ108" s="4" t="s">
        <v>69</v>
      </c>
    </row>
    <row r="109" ht="22.5" customHeight="1">
      <c r="A109" s="4" t="s">
        <v>224</v>
      </c>
      <c r="B109" s="2">
        <f t="shared" ref="B109:C109" si="108">sum(E109+H109+K109+N109+Q109+T109+W109+Z109+AC109+AF109+AI109+AL109+AO109+AR109+AU109+AX109)</f>
        <v>1830</v>
      </c>
      <c r="C109" s="2">
        <f t="shared" si="108"/>
        <v>1</v>
      </c>
      <c r="D109" s="4" t="s">
        <v>71</v>
      </c>
      <c r="E109" s="4">
        <f>VLOOKUP(D109,'Team Hub'!$B$1:$F$65,4,false)</f>
        <v>600</v>
      </c>
      <c r="F109" s="4">
        <f>VLOOKUP(D109,'Team Hub'!$B$1:$F$65,5,false)</f>
        <v>1</v>
      </c>
      <c r="G109" s="5" t="s">
        <v>72</v>
      </c>
      <c r="H109" s="5">
        <f>VLOOKUP(G109,'Team Hub'!$B$1:$F$65,4,false)</f>
        <v>330</v>
      </c>
      <c r="I109" s="5" t="str">
        <f>VLOOKUP(G109,'Team Hub'!$B$1:$F$65,5,false)</f>
        <v/>
      </c>
      <c r="J109" s="5" t="s">
        <v>55</v>
      </c>
      <c r="K109" s="5">
        <f>VLOOKUP(J109,'Team Hub'!$B$1:$F$65,4,false)</f>
        <v>360</v>
      </c>
      <c r="L109" s="4" t="str">
        <f>VLOOKUP(J109,'Team Hub'!$B$1:$F$65,5,false)</f>
        <v/>
      </c>
      <c r="M109" s="5" t="s">
        <v>74</v>
      </c>
      <c r="N109" s="5">
        <f>VLOOKUP(M109,'Team Hub'!$B$1:$F$65,4,false)</f>
        <v>260</v>
      </c>
      <c r="O109" s="5" t="str">
        <f>VLOOKUP(M109,'Team Hub'!$B$1:$F$65,5,false)</f>
        <v/>
      </c>
      <c r="P109" s="5" t="s">
        <v>57</v>
      </c>
      <c r="Q109" s="5">
        <f>VLOOKUP(P109,'Team Hub'!$B$1:$F$65,4,false)</f>
        <v>280</v>
      </c>
      <c r="R109" s="5" t="str">
        <f>VLOOKUP(P109,'Team Hub'!$B$1:$F$65,5,false)</f>
        <v/>
      </c>
      <c r="S109" s="5" t="s">
        <v>113</v>
      </c>
      <c r="T109" s="5">
        <f>VLOOKUP(S109,'Team Hub'!$B$1:$F$65,4,false)</f>
        <v>0</v>
      </c>
      <c r="U109" s="5" t="str">
        <f>VLOOKUP(S109,'Team Hub'!$B$1:$F$65,5,false)</f>
        <v/>
      </c>
      <c r="V109" s="5" t="s">
        <v>75</v>
      </c>
      <c r="W109" s="5">
        <f>VLOOKUP(V109,'Team Hub'!$B$1:$F$65,4,false)</f>
        <v>0</v>
      </c>
      <c r="X109" s="5" t="str">
        <f>VLOOKUP(V109,'Team Hub'!$B$1:$F$65,5,false)</f>
        <v/>
      </c>
      <c r="Y109" s="5" t="s">
        <v>126</v>
      </c>
      <c r="Z109" s="5">
        <f>VLOOKUP(Y109,'Team Hub'!$B$1:$F$65,4,false)</f>
        <v>0</v>
      </c>
      <c r="AA109" s="4" t="str">
        <f>VLOOKUP(Y109,'Team Hub'!$B$1:$F$65,5,false)</f>
        <v/>
      </c>
      <c r="AB109" s="5" t="s">
        <v>84</v>
      </c>
      <c r="AC109" s="5">
        <f>VLOOKUP(AB109,'Team Hub'!$B$1:$F$65,4,false)</f>
        <v>0</v>
      </c>
      <c r="AD109" s="4" t="str">
        <f>VLOOKUP(AB109,'Team Hub'!$B$1:$F$65,5,false)</f>
        <v/>
      </c>
      <c r="AE109" s="5" t="s">
        <v>154</v>
      </c>
      <c r="AF109" s="5">
        <f>VLOOKUP(AE109,'Team Hub'!$B$1:$F$65,4,false)</f>
        <v>0</v>
      </c>
      <c r="AG109" s="4" t="str">
        <f>VLOOKUP(AE109,'Team Hub'!$B$1:$F$65,5,false)</f>
        <v/>
      </c>
      <c r="AH109" s="5" t="s">
        <v>116</v>
      </c>
      <c r="AI109" s="5">
        <f>VLOOKUP(AH109,'Team Hub'!$B$1:$F$65,4,false)</f>
        <v>0</v>
      </c>
      <c r="AJ109" s="4" t="str">
        <f>VLOOKUP(AH109,'Team Hub'!$B$1:$F$65,5,false)</f>
        <v/>
      </c>
      <c r="AK109" s="5" t="s">
        <v>138</v>
      </c>
      <c r="AL109" s="5">
        <f>VLOOKUP(AK109,'Team Hub'!$B$1:$F$65,4,false)</f>
        <v>0</v>
      </c>
      <c r="AM109" s="4" t="str">
        <f>VLOOKUP(AK109,'Team Hub'!$B$1:$F$65,5,false)</f>
        <v/>
      </c>
      <c r="AN109" s="5" t="s">
        <v>110</v>
      </c>
      <c r="AO109" s="5">
        <f>VLOOKUP(AN109,'Team Hub'!$B$1:$F$65,4,false)</f>
        <v>0</v>
      </c>
      <c r="AP109" s="4" t="str">
        <f>VLOOKUP(AN109,'Team Hub'!$B$1:$F$65,5,false)</f>
        <v/>
      </c>
      <c r="AQ109" s="5" t="s">
        <v>66</v>
      </c>
      <c r="AR109" s="5">
        <f>VLOOKUP(AQ109,'Team Hub'!$B$1:$F$65,4,false)</f>
        <v>0</v>
      </c>
      <c r="AS109" s="4" t="str">
        <f>VLOOKUP(AQ109,'Team Hub'!$B$1:$F$65,5,false)</f>
        <v/>
      </c>
      <c r="AT109" s="5" t="s">
        <v>79</v>
      </c>
      <c r="AU109" s="5">
        <f>VLOOKUP(AT109,'Team Hub'!$B$1:$F$65,4,false)</f>
        <v>0</v>
      </c>
      <c r="AV109" s="4" t="str">
        <f>VLOOKUP(AT109,'Team Hub'!$B$1:$F$65,5,false)</f>
        <v/>
      </c>
      <c r="AW109" s="5" t="s">
        <v>95</v>
      </c>
      <c r="AX109" s="5">
        <f>VLOOKUP(AW109,'Team Hub'!$B$1:$F$65,4,false)</f>
        <v>0</v>
      </c>
      <c r="AY109" s="4" t="str">
        <f>VLOOKUP(AW109,'Team Hub'!$B$1:$F$65,5,false)</f>
        <v/>
      </c>
      <c r="AZ109" s="4" t="s">
        <v>69</v>
      </c>
    </row>
    <row r="110" ht="22.5" customHeight="1">
      <c r="A110" s="4" t="s">
        <v>225</v>
      </c>
      <c r="B110" s="2">
        <f t="shared" ref="B110:C110" si="109">sum(E110+H110+K110+N110+Q110+T110+W110+Z110+AC110+AF110+AI110+AL110+AO110+AR110+AU110+AX110)</f>
        <v>1830</v>
      </c>
      <c r="C110" s="2">
        <f t="shared" si="109"/>
        <v>0</v>
      </c>
      <c r="D110" s="5" t="s">
        <v>125</v>
      </c>
      <c r="E110" s="5">
        <f>VLOOKUP(D110,'Team Hub'!$B$1:$F$65,4,false)</f>
        <v>500</v>
      </c>
      <c r="F110" s="4" t="str">
        <f>VLOOKUP(D110,'Team Hub'!$B$1:$F$65,5,false)</f>
        <v/>
      </c>
      <c r="G110" s="5" t="s">
        <v>109</v>
      </c>
      <c r="H110" s="5">
        <f>VLOOKUP(G110,'Team Hub'!$B$1:$F$65,4,false)</f>
        <v>110</v>
      </c>
      <c r="I110" s="4" t="str">
        <f>VLOOKUP(G110,'Team Hub'!$B$1:$F$65,5,false)</f>
        <v/>
      </c>
      <c r="J110" s="5" t="s">
        <v>121</v>
      </c>
      <c r="K110" s="5">
        <f>VLOOKUP(J110,'Team Hub'!$B$1:$F$65,4,false)</f>
        <v>120</v>
      </c>
      <c r="L110" s="4" t="str">
        <f>VLOOKUP(J110,'Team Hub'!$B$1:$F$65,5,false)</f>
        <v/>
      </c>
      <c r="M110" s="5" t="s">
        <v>142</v>
      </c>
      <c r="N110" s="5">
        <f>VLOOKUP(M110,'Team Hub'!$B$1:$F$65,4,false)</f>
        <v>130</v>
      </c>
      <c r="O110" s="5" t="str">
        <f>VLOOKUP(M110,'Team Hub'!$B$1:$F$65,5,false)</f>
        <v/>
      </c>
      <c r="P110" s="5" t="s">
        <v>57</v>
      </c>
      <c r="Q110" s="5">
        <f>VLOOKUP(P110,'Team Hub'!$B$1:$F$65,4,false)</f>
        <v>280</v>
      </c>
      <c r="R110" s="5" t="str">
        <f>VLOOKUP(P110,'Team Hub'!$B$1:$F$65,5,false)</f>
        <v/>
      </c>
      <c r="S110" s="5" t="s">
        <v>92</v>
      </c>
      <c r="T110" s="5">
        <f>VLOOKUP(S110,'Team Hub'!$B$1:$F$65,4,false)</f>
        <v>150</v>
      </c>
      <c r="U110" s="5" t="str">
        <f>VLOOKUP(S110,'Team Hub'!$B$1:$F$65,5,false)</f>
        <v/>
      </c>
      <c r="V110" s="5" t="s">
        <v>75</v>
      </c>
      <c r="W110" s="5">
        <f>VLOOKUP(V110,'Team Hub'!$B$1:$F$65,4,false)</f>
        <v>0</v>
      </c>
      <c r="X110" s="5" t="str">
        <f>VLOOKUP(V110,'Team Hub'!$B$1:$F$65,5,false)</f>
        <v/>
      </c>
      <c r="Y110" s="5" t="s">
        <v>76</v>
      </c>
      <c r="Z110" s="5">
        <f>VLOOKUP(Y110,'Team Hub'!$B$1:$F$65,4,false)</f>
        <v>170</v>
      </c>
      <c r="AA110" s="4" t="str">
        <f>VLOOKUP(Y110,'Team Hub'!$B$1:$F$65,5,false)</f>
        <v/>
      </c>
      <c r="AB110" s="5" t="s">
        <v>61</v>
      </c>
      <c r="AC110" s="5">
        <f>VLOOKUP(AB110,'Team Hub'!$B$1:$F$65,4,false)</f>
        <v>180</v>
      </c>
      <c r="AD110" s="4" t="str">
        <f>VLOOKUP(AB110,'Team Hub'!$B$1:$F$65,5,false)</f>
        <v/>
      </c>
      <c r="AE110" s="5" t="s">
        <v>85</v>
      </c>
      <c r="AF110" s="5">
        <f>VLOOKUP(AE110,'Team Hub'!$B$1:$F$65,4,false)</f>
        <v>190</v>
      </c>
      <c r="AG110" s="4" t="str">
        <f>VLOOKUP(AE110,'Team Hub'!$B$1:$F$65,5,false)</f>
        <v/>
      </c>
      <c r="AH110" s="5" t="s">
        <v>98</v>
      </c>
      <c r="AI110" s="5">
        <f>VLOOKUP(AH110,'Team Hub'!$B$1:$F$65,4,false)</f>
        <v>0</v>
      </c>
      <c r="AJ110" s="4" t="str">
        <f>VLOOKUP(AH110,'Team Hub'!$B$1:$F$65,5,false)</f>
        <v/>
      </c>
      <c r="AK110" s="5" t="s">
        <v>107</v>
      </c>
      <c r="AL110" s="5">
        <f>VLOOKUP(AK110,'Team Hub'!$B$1:$F$65,4,false)</f>
        <v>0</v>
      </c>
      <c r="AM110" s="4" t="str">
        <f>VLOOKUP(AK110,'Team Hub'!$B$1:$F$65,5,false)</f>
        <v/>
      </c>
      <c r="AN110" s="5" t="s">
        <v>88</v>
      </c>
      <c r="AO110" s="5">
        <f>VLOOKUP(AN110,'Team Hub'!$B$1:$F$65,4,false)</f>
        <v>0</v>
      </c>
      <c r="AP110" s="4" t="str">
        <f>VLOOKUP(AN110,'Team Hub'!$B$1:$F$65,5,false)</f>
        <v/>
      </c>
      <c r="AQ110" s="5" t="s">
        <v>78</v>
      </c>
      <c r="AR110" s="5">
        <f>VLOOKUP(AQ110,'Team Hub'!$B$1:$F$65,4,false)</f>
        <v>0</v>
      </c>
      <c r="AS110" s="4" t="str">
        <f>VLOOKUP(AQ110,'Team Hub'!$B$1:$F$65,5,false)</f>
        <v/>
      </c>
      <c r="AT110" s="5" t="s">
        <v>79</v>
      </c>
      <c r="AU110" s="5">
        <f>VLOOKUP(AT110,'Team Hub'!$B$1:$F$65,4,false)</f>
        <v>0</v>
      </c>
      <c r="AV110" s="4" t="str">
        <f>VLOOKUP(AT110,'Team Hub'!$B$1:$F$65,5,false)</f>
        <v/>
      </c>
      <c r="AW110" s="5" t="s">
        <v>99</v>
      </c>
      <c r="AX110" s="5">
        <f>VLOOKUP(AW110,'Team Hub'!$B$1:$F$65,4,false)</f>
        <v>0</v>
      </c>
      <c r="AY110" s="4" t="str">
        <f>VLOOKUP(AW110,'Team Hub'!$B$1:$F$65,5,false)</f>
        <v/>
      </c>
      <c r="AZ110" s="4" t="s">
        <v>69</v>
      </c>
    </row>
    <row r="111" ht="22.5" customHeight="1">
      <c r="A111" s="4" t="s">
        <v>226</v>
      </c>
      <c r="B111" s="2">
        <f t="shared" ref="B111:C111" si="110">sum(E111+H111+K111+N111+Q111+T111+W111+Z111+AC111+AF111+AI111+AL111+AO111+AR111+AU111+AX111)</f>
        <v>1800</v>
      </c>
      <c r="C111" s="2">
        <f t="shared" si="110"/>
        <v>0</v>
      </c>
      <c r="D111" s="5" t="s">
        <v>91</v>
      </c>
      <c r="E111" s="5">
        <f>VLOOKUP(D111,'Team Hub'!$B$1:$F$65,4,false)</f>
        <v>400</v>
      </c>
      <c r="F111" s="4" t="str">
        <f>VLOOKUP(D111,'Team Hub'!$B$1:$F$65,5,false)</f>
        <v/>
      </c>
      <c r="G111" s="5" t="s">
        <v>109</v>
      </c>
      <c r="H111" s="5">
        <f>VLOOKUP(G111,'Team Hub'!$B$1:$F$65,4,false)</f>
        <v>110</v>
      </c>
      <c r="I111" s="4" t="str">
        <f>VLOOKUP(G111,'Team Hub'!$B$1:$F$65,5,false)</f>
        <v/>
      </c>
      <c r="J111" s="5" t="s">
        <v>55</v>
      </c>
      <c r="K111" s="5">
        <f>VLOOKUP(J111,'Team Hub'!$B$1:$F$65,4,false)</f>
        <v>360</v>
      </c>
      <c r="L111" s="4" t="str">
        <f>VLOOKUP(J111,'Team Hub'!$B$1:$F$65,5,false)</f>
        <v/>
      </c>
      <c r="M111" s="5" t="s">
        <v>97</v>
      </c>
      <c r="N111" s="5">
        <f>VLOOKUP(M111,'Team Hub'!$B$1:$F$65,4,false)</f>
        <v>260</v>
      </c>
      <c r="O111" s="5" t="str">
        <f>VLOOKUP(M111,'Team Hub'!$B$1:$F$65,5,false)</f>
        <v/>
      </c>
      <c r="P111" s="5" t="s">
        <v>132</v>
      </c>
      <c r="Q111" s="5">
        <f>VLOOKUP(P111,'Team Hub'!$B$1:$F$65,4,false)</f>
        <v>0</v>
      </c>
      <c r="R111" s="5" t="str">
        <f>VLOOKUP(P111,'Team Hub'!$B$1:$F$65,5,false)</f>
        <v/>
      </c>
      <c r="S111" s="5" t="s">
        <v>58</v>
      </c>
      <c r="T111" s="5">
        <f>VLOOKUP(S111,'Team Hub'!$B$1:$F$65,4,false)</f>
        <v>300</v>
      </c>
      <c r="U111" s="5" t="str">
        <f>VLOOKUP(S111,'Team Hub'!$B$1:$F$65,5,false)</f>
        <v/>
      </c>
      <c r="V111" s="5" t="s">
        <v>83</v>
      </c>
      <c r="W111" s="5">
        <f>VLOOKUP(V111,'Team Hub'!$B$1:$F$65,4,false)</f>
        <v>0</v>
      </c>
      <c r="X111" s="5" t="str">
        <f>VLOOKUP(V111,'Team Hub'!$B$1:$F$65,5,false)</f>
        <v/>
      </c>
      <c r="Y111" s="5" t="s">
        <v>60</v>
      </c>
      <c r="Z111" s="5">
        <f>VLOOKUP(Y111,'Team Hub'!$B$1:$F$65,4,false)</f>
        <v>170</v>
      </c>
      <c r="AA111" s="4" t="str">
        <f>VLOOKUP(Y111,'Team Hub'!$B$1:$F$65,5,false)</f>
        <v/>
      </c>
      <c r="AB111" s="5" t="s">
        <v>114</v>
      </c>
      <c r="AC111" s="5">
        <f>VLOOKUP(AB111,'Team Hub'!$B$1:$F$65,4,false)</f>
        <v>0</v>
      </c>
      <c r="AD111" s="4" t="str">
        <f>VLOOKUP(AB111,'Team Hub'!$B$1:$F$65,5,false)</f>
        <v/>
      </c>
      <c r="AE111" s="5" t="s">
        <v>154</v>
      </c>
      <c r="AF111" s="5">
        <f>VLOOKUP(AE111,'Team Hub'!$B$1:$F$65,4,false)</f>
        <v>0</v>
      </c>
      <c r="AG111" s="4" t="str">
        <f>VLOOKUP(AE111,'Team Hub'!$B$1:$F$65,5,false)</f>
        <v/>
      </c>
      <c r="AH111" s="5" t="s">
        <v>86</v>
      </c>
      <c r="AI111" s="5">
        <f>VLOOKUP(AH111,'Team Hub'!$B$1:$F$65,4,false)</f>
        <v>200</v>
      </c>
      <c r="AJ111" s="4" t="str">
        <f>VLOOKUP(AH111,'Team Hub'!$B$1:$F$65,5,false)</f>
        <v/>
      </c>
      <c r="AK111" s="5" t="s">
        <v>107</v>
      </c>
      <c r="AL111" s="5">
        <f>VLOOKUP(AK111,'Team Hub'!$B$1:$F$65,4,false)</f>
        <v>0</v>
      </c>
      <c r="AM111" s="4" t="str">
        <f>VLOOKUP(AK111,'Team Hub'!$B$1:$F$65,5,false)</f>
        <v/>
      </c>
      <c r="AN111" s="5" t="s">
        <v>88</v>
      </c>
      <c r="AO111" s="5">
        <f>VLOOKUP(AN111,'Team Hub'!$B$1:$F$65,4,false)</f>
        <v>0</v>
      </c>
      <c r="AP111" s="4" t="str">
        <f>VLOOKUP(AN111,'Team Hub'!$B$1:$F$65,5,false)</f>
        <v/>
      </c>
      <c r="AQ111" s="5" t="s">
        <v>117</v>
      </c>
      <c r="AR111" s="5">
        <f>VLOOKUP(AQ111,'Team Hub'!$B$1:$F$65,4,false)</f>
        <v>0</v>
      </c>
      <c r="AS111" s="4" t="str">
        <f>VLOOKUP(AQ111,'Team Hub'!$B$1:$F$65,5,false)</f>
        <v/>
      </c>
      <c r="AT111" s="5" t="s">
        <v>129</v>
      </c>
      <c r="AU111" s="5">
        <f>VLOOKUP(AT111,'Team Hub'!$B$1:$F$65,4,false)</f>
        <v>0</v>
      </c>
      <c r="AV111" s="4" t="str">
        <f>VLOOKUP(AT111,'Team Hub'!$B$1:$F$65,5,false)</f>
        <v/>
      </c>
      <c r="AW111" s="5" t="s">
        <v>103</v>
      </c>
      <c r="AX111" s="5">
        <f>VLOOKUP(AW111,'Team Hub'!$B$1:$F$65,4,false)</f>
        <v>0</v>
      </c>
      <c r="AY111" s="4" t="str">
        <f>VLOOKUP(AW111,'Team Hub'!$B$1:$F$65,5,false)</f>
        <v/>
      </c>
      <c r="AZ111" s="4" t="s">
        <v>69</v>
      </c>
    </row>
    <row r="112" ht="22.5" customHeight="1">
      <c r="A112" s="4" t="s">
        <v>227</v>
      </c>
      <c r="B112" s="2">
        <f t="shared" ref="B112:C112" si="111">sum(E112+H112+K112+N112+Q112+T112+W112+Z112+AC112+AF112+AI112+AL112+AO112+AR112+AU112+AX112)</f>
        <v>1800</v>
      </c>
      <c r="C112" s="2">
        <f t="shared" si="111"/>
        <v>0</v>
      </c>
      <c r="D112" s="5" t="s">
        <v>53</v>
      </c>
      <c r="E112" s="5">
        <f>VLOOKUP(D112,'Team Hub'!$B$1:$F$65,4,false)</f>
        <v>400</v>
      </c>
      <c r="F112" s="4" t="str">
        <f>VLOOKUP(D112,'Team Hub'!$B$1:$F$65,5,false)</f>
        <v/>
      </c>
      <c r="G112" s="5" t="s">
        <v>109</v>
      </c>
      <c r="H112" s="5">
        <f>VLOOKUP(G112,'Team Hub'!$B$1:$F$65,4,false)</f>
        <v>110</v>
      </c>
      <c r="I112" s="4" t="str">
        <f>VLOOKUP(G112,'Team Hub'!$B$1:$F$65,5,false)</f>
        <v/>
      </c>
      <c r="J112" s="5" t="s">
        <v>101</v>
      </c>
      <c r="K112" s="5">
        <f>VLOOKUP(J112,'Team Hub'!$B$1:$F$65,4,false)</f>
        <v>120</v>
      </c>
      <c r="L112" s="4" t="str">
        <f>VLOOKUP(J112,'Team Hub'!$B$1:$F$65,5,false)</f>
        <v/>
      </c>
      <c r="M112" s="5" t="s">
        <v>56</v>
      </c>
      <c r="N112" s="5">
        <f>VLOOKUP(M112,'Team Hub'!$B$1:$F$65,4,false)</f>
        <v>260</v>
      </c>
      <c r="O112" s="5" t="str">
        <f>VLOOKUP(M112,'Team Hub'!$B$1:$F$65,5,false)</f>
        <v/>
      </c>
      <c r="P112" s="5" t="s">
        <v>57</v>
      </c>
      <c r="Q112" s="5">
        <f>VLOOKUP(P112,'Team Hub'!$B$1:$F$65,4,false)</f>
        <v>280</v>
      </c>
      <c r="R112" s="5" t="str">
        <f>VLOOKUP(P112,'Team Hub'!$B$1:$F$65,5,false)</f>
        <v/>
      </c>
      <c r="S112" s="5" t="s">
        <v>82</v>
      </c>
      <c r="T112" s="5">
        <f>VLOOKUP(S112,'Team Hub'!$B$1:$F$65,4,false)</f>
        <v>300</v>
      </c>
      <c r="U112" s="5" t="str">
        <f>VLOOKUP(S112,'Team Hub'!$B$1:$F$65,5,false)</f>
        <v/>
      </c>
      <c r="V112" s="5" t="s">
        <v>93</v>
      </c>
      <c r="W112" s="5">
        <f>VLOOKUP(V112,'Team Hub'!$B$1:$F$65,4,false)</f>
        <v>160</v>
      </c>
      <c r="X112" s="5" t="str">
        <f>VLOOKUP(V112,'Team Hub'!$B$1:$F$65,5,false)</f>
        <v/>
      </c>
      <c r="Y112" s="5" t="s">
        <v>76</v>
      </c>
      <c r="Z112" s="5">
        <f>VLOOKUP(Y112,'Team Hub'!$B$1:$F$65,4,false)</f>
        <v>170</v>
      </c>
      <c r="AA112" s="4" t="str">
        <f>VLOOKUP(Y112,'Team Hub'!$B$1:$F$65,5,false)</f>
        <v/>
      </c>
      <c r="AB112" s="5" t="s">
        <v>114</v>
      </c>
      <c r="AC112" s="5">
        <f>VLOOKUP(AB112,'Team Hub'!$B$1:$F$65,4,false)</f>
        <v>0</v>
      </c>
      <c r="AD112" s="4" t="str">
        <f>VLOOKUP(AB112,'Team Hub'!$B$1:$F$65,5,false)</f>
        <v/>
      </c>
      <c r="AE112" s="5" t="s">
        <v>154</v>
      </c>
      <c r="AF112" s="5">
        <f>VLOOKUP(AE112,'Team Hub'!$B$1:$F$65,4,false)</f>
        <v>0</v>
      </c>
      <c r="AG112" s="4" t="str">
        <f>VLOOKUP(AE112,'Team Hub'!$B$1:$F$65,5,false)</f>
        <v/>
      </c>
      <c r="AH112" s="5" t="s">
        <v>98</v>
      </c>
      <c r="AI112" s="5">
        <f>VLOOKUP(AH112,'Team Hub'!$B$1:$F$65,4,false)</f>
        <v>0</v>
      </c>
      <c r="AJ112" s="4" t="str">
        <f>VLOOKUP(AH112,'Team Hub'!$B$1:$F$65,5,false)</f>
        <v/>
      </c>
      <c r="AK112" s="5" t="s">
        <v>107</v>
      </c>
      <c r="AL112" s="5">
        <f>VLOOKUP(AK112,'Team Hub'!$B$1:$F$65,4,false)</f>
        <v>0</v>
      </c>
      <c r="AM112" s="4" t="str">
        <f>VLOOKUP(AK112,'Team Hub'!$B$1:$F$65,5,false)</f>
        <v/>
      </c>
      <c r="AN112" s="5" t="s">
        <v>88</v>
      </c>
      <c r="AO112" s="5">
        <f>VLOOKUP(AN112,'Team Hub'!$B$1:$F$65,4,false)</f>
        <v>0</v>
      </c>
      <c r="AP112" s="4" t="str">
        <f>VLOOKUP(AN112,'Team Hub'!$B$1:$F$65,5,false)</f>
        <v/>
      </c>
      <c r="AQ112" s="5" t="s">
        <v>66</v>
      </c>
      <c r="AR112" s="5">
        <f>VLOOKUP(AQ112,'Team Hub'!$B$1:$F$65,4,false)</f>
        <v>0</v>
      </c>
      <c r="AS112" s="4" t="str">
        <f>VLOOKUP(AQ112,'Team Hub'!$B$1:$F$65,5,false)</f>
        <v/>
      </c>
      <c r="AT112" s="5" t="s">
        <v>129</v>
      </c>
      <c r="AU112" s="5">
        <f>VLOOKUP(AT112,'Team Hub'!$B$1:$F$65,4,false)</f>
        <v>0</v>
      </c>
      <c r="AV112" s="4" t="str">
        <f>VLOOKUP(AT112,'Team Hub'!$B$1:$F$65,5,false)</f>
        <v/>
      </c>
      <c r="AW112" s="5" t="s">
        <v>99</v>
      </c>
      <c r="AX112" s="5">
        <f>VLOOKUP(AW112,'Team Hub'!$B$1:$F$65,4,false)</f>
        <v>0</v>
      </c>
      <c r="AY112" s="4" t="str">
        <f>VLOOKUP(AW112,'Team Hub'!$B$1:$F$65,5,false)</f>
        <v/>
      </c>
      <c r="AZ112" s="4" t="s">
        <v>148</v>
      </c>
    </row>
    <row r="113" ht="22.5" customHeight="1">
      <c r="A113" s="4" t="s">
        <v>228</v>
      </c>
      <c r="B113" s="2">
        <f t="shared" ref="B113:C113" si="112">sum(E113+H113+K113+N113+Q113+T113+W113+Z113+AC113+AF113+AI113+AL113+AO113+AR113+AU113+AX113)</f>
        <v>1790</v>
      </c>
      <c r="C113" s="2">
        <f t="shared" si="112"/>
        <v>0</v>
      </c>
      <c r="D113" s="5" t="s">
        <v>53</v>
      </c>
      <c r="E113" s="5">
        <f>VLOOKUP(D113,'Team Hub'!$B$1:$F$65,4,false)</f>
        <v>400</v>
      </c>
      <c r="F113" s="4" t="str">
        <f>VLOOKUP(D113,'Team Hub'!$B$1:$F$65,5,false)</f>
        <v/>
      </c>
      <c r="G113" s="5" t="s">
        <v>54</v>
      </c>
      <c r="H113" s="5">
        <f>VLOOKUP(G113,'Team Hub'!$B$1:$F$65,4,false)</f>
        <v>330</v>
      </c>
      <c r="I113" s="4" t="str">
        <f>VLOOKUP(G113,'Team Hub'!$B$1:$F$65,5,false)</f>
        <v/>
      </c>
      <c r="J113" s="5" t="s">
        <v>121</v>
      </c>
      <c r="K113" s="5">
        <f>VLOOKUP(J113,'Team Hub'!$B$1:$F$65,4,false)</f>
        <v>120</v>
      </c>
      <c r="L113" s="4" t="str">
        <f>VLOOKUP(J113,'Team Hub'!$B$1:$F$65,5,false)</f>
        <v/>
      </c>
      <c r="M113" s="5" t="s">
        <v>56</v>
      </c>
      <c r="N113" s="5">
        <f>VLOOKUP(M113,'Team Hub'!$B$1:$F$65,4,false)</f>
        <v>260</v>
      </c>
      <c r="O113" s="5" t="str">
        <f>VLOOKUP(M113,'Team Hub'!$B$1:$F$65,5,false)</f>
        <v/>
      </c>
      <c r="P113" s="5" t="s">
        <v>132</v>
      </c>
      <c r="Q113" s="5">
        <f>VLOOKUP(P113,'Team Hub'!$B$1:$F$65,4,false)</f>
        <v>0</v>
      </c>
      <c r="R113" s="5" t="str">
        <f>VLOOKUP(P113,'Team Hub'!$B$1:$F$65,5,false)</f>
        <v/>
      </c>
      <c r="S113" s="5" t="s">
        <v>82</v>
      </c>
      <c r="T113" s="5">
        <f>VLOOKUP(S113,'Team Hub'!$B$1:$F$65,4,false)</f>
        <v>300</v>
      </c>
      <c r="U113" s="5" t="str">
        <f>VLOOKUP(S113,'Team Hub'!$B$1:$F$65,5,false)</f>
        <v/>
      </c>
      <c r="V113" s="5" t="s">
        <v>83</v>
      </c>
      <c r="W113" s="5">
        <f>VLOOKUP(V113,'Team Hub'!$B$1:$F$65,4,false)</f>
        <v>0</v>
      </c>
      <c r="X113" s="5" t="str">
        <f>VLOOKUP(V113,'Team Hub'!$B$1:$F$65,5,false)</f>
        <v/>
      </c>
      <c r="Y113" s="5" t="s">
        <v>60</v>
      </c>
      <c r="Z113" s="5">
        <f>VLOOKUP(Y113,'Team Hub'!$B$1:$F$65,4,false)</f>
        <v>170</v>
      </c>
      <c r="AA113" s="4" t="str">
        <f>VLOOKUP(Y113,'Team Hub'!$B$1:$F$65,5,false)</f>
        <v/>
      </c>
      <c r="AB113" s="5" t="s">
        <v>114</v>
      </c>
      <c r="AC113" s="5">
        <f>VLOOKUP(AB113,'Team Hub'!$B$1:$F$65,4,false)</f>
        <v>0</v>
      </c>
      <c r="AD113" s="4" t="str">
        <f>VLOOKUP(AB113,'Team Hub'!$B$1:$F$65,5,false)</f>
        <v/>
      </c>
      <c r="AE113" s="5" t="s">
        <v>123</v>
      </c>
      <c r="AF113" s="5">
        <f>VLOOKUP(AE113,'Team Hub'!$B$1:$F$65,4,false)</f>
        <v>0</v>
      </c>
      <c r="AG113" s="4" t="str">
        <f>VLOOKUP(AE113,'Team Hub'!$B$1:$F$65,5,false)</f>
        <v/>
      </c>
      <c r="AH113" s="5" t="s">
        <v>63</v>
      </c>
      <c r="AI113" s="5">
        <f>VLOOKUP(AH113,'Team Hub'!$B$1:$F$65,4,false)</f>
        <v>0</v>
      </c>
      <c r="AJ113" s="4" t="str">
        <f>VLOOKUP(AH113,'Team Hub'!$B$1:$F$65,5,false)</f>
        <v/>
      </c>
      <c r="AK113" s="5" t="s">
        <v>87</v>
      </c>
      <c r="AL113" s="5">
        <f>VLOOKUP(AK113,'Team Hub'!$B$1:$F$65,4,false)</f>
        <v>210</v>
      </c>
      <c r="AM113" s="4" t="str">
        <f>VLOOKUP(AK113,'Team Hub'!$B$1:$F$65,5,false)</f>
        <v/>
      </c>
      <c r="AN113" s="5" t="s">
        <v>88</v>
      </c>
      <c r="AO113" s="5">
        <f>VLOOKUP(AN113,'Team Hub'!$B$1:$F$65,4,false)</f>
        <v>0</v>
      </c>
      <c r="AP113" s="4" t="str">
        <f>VLOOKUP(AN113,'Team Hub'!$B$1:$F$65,5,false)</f>
        <v/>
      </c>
      <c r="AQ113" s="5" t="s">
        <v>78</v>
      </c>
      <c r="AR113" s="5">
        <f>VLOOKUP(AQ113,'Team Hub'!$B$1:$F$65,4,false)</f>
        <v>0</v>
      </c>
      <c r="AS113" s="4" t="str">
        <f>VLOOKUP(AQ113,'Team Hub'!$B$1:$F$65,5,false)</f>
        <v/>
      </c>
      <c r="AT113" s="5" t="s">
        <v>105</v>
      </c>
      <c r="AU113" s="5">
        <f>VLOOKUP(AT113,'Team Hub'!$B$1:$F$65,4,false)</f>
        <v>0</v>
      </c>
      <c r="AV113" s="5" t="str">
        <f>VLOOKUP(AT113,'Team Hub'!$B$1:$F$65,5,false)</f>
        <v/>
      </c>
      <c r="AW113" s="5" t="s">
        <v>99</v>
      </c>
      <c r="AX113" s="5">
        <f>VLOOKUP(AW113,'Team Hub'!$B$1:$F$65,4,false)</f>
        <v>0</v>
      </c>
      <c r="AY113" s="4" t="str">
        <f>VLOOKUP(AW113,'Team Hub'!$B$1:$F$65,5,false)</f>
        <v/>
      </c>
      <c r="AZ113" s="4" t="s">
        <v>69</v>
      </c>
    </row>
    <row r="114" ht="22.5" customHeight="1">
      <c r="A114" s="4" t="s">
        <v>229</v>
      </c>
      <c r="B114" s="2">
        <f t="shared" ref="B114:C114" si="113">sum(E114+H114+K114+N114+Q114+T114+W114+Z114+AC114+AF114+AI114+AL114+AO114+AR114+AU114+AX114)</f>
        <v>1780</v>
      </c>
      <c r="C114" s="2">
        <f t="shared" si="113"/>
        <v>0</v>
      </c>
      <c r="D114" s="5" t="s">
        <v>91</v>
      </c>
      <c r="E114" s="5">
        <f>VLOOKUP(D114,'Team Hub'!$B$1:$F$65,4,false)</f>
        <v>400</v>
      </c>
      <c r="F114" s="4" t="str">
        <f>VLOOKUP(D114,'Team Hub'!$B$1:$F$65,5,false)</f>
        <v/>
      </c>
      <c r="G114" s="5" t="s">
        <v>72</v>
      </c>
      <c r="H114" s="5">
        <f>VLOOKUP(G114,'Team Hub'!$B$1:$F$65,4,false)</f>
        <v>330</v>
      </c>
      <c r="I114" s="5" t="str">
        <f>VLOOKUP(G114,'Team Hub'!$B$1:$F$65,5,false)</f>
        <v/>
      </c>
      <c r="J114" s="5" t="s">
        <v>73</v>
      </c>
      <c r="K114" s="5">
        <f>VLOOKUP(J114,'Team Hub'!$B$1:$F$65,4,false)</f>
        <v>240</v>
      </c>
      <c r="L114" s="4" t="str">
        <f>VLOOKUP(J114,'Team Hub'!$B$1:$F$65,5,false)</f>
        <v/>
      </c>
      <c r="M114" s="5" t="s">
        <v>142</v>
      </c>
      <c r="N114" s="5">
        <f>VLOOKUP(M114,'Team Hub'!$B$1:$F$65,4,false)</f>
        <v>130</v>
      </c>
      <c r="O114" s="5" t="str">
        <f>VLOOKUP(M114,'Team Hub'!$B$1:$F$65,5,false)</f>
        <v/>
      </c>
      <c r="P114" s="5" t="s">
        <v>102</v>
      </c>
      <c r="Q114" s="5">
        <f>VLOOKUP(P114,'Team Hub'!$B$1:$F$65,4,false)</f>
        <v>140</v>
      </c>
      <c r="R114" s="5" t="str">
        <f>VLOOKUP(P114,'Team Hub'!$B$1:$F$65,5,false)</f>
        <v/>
      </c>
      <c r="S114" s="5" t="s">
        <v>92</v>
      </c>
      <c r="T114" s="5">
        <f>VLOOKUP(S114,'Team Hub'!$B$1:$F$65,4,false)</f>
        <v>150</v>
      </c>
      <c r="U114" s="5" t="str">
        <f>VLOOKUP(S114,'Team Hub'!$B$1:$F$65,5,false)</f>
        <v/>
      </c>
      <c r="V114" s="5" t="s">
        <v>83</v>
      </c>
      <c r="W114" s="5">
        <f>VLOOKUP(V114,'Team Hub'!$B$1:$F$65,4,false)</f>
        <v>0</v>
      </c>
      <c r="X114" s="5" t="str">
        <f>VLOOKUP(V114,'Team Hub'!$B$1:$F$65,5,false)</f>
        <v/>
      </c>
      <c r="Y114" s="5" t="s">
        <v>188</v>
      </c>
      <c r="Z114" s="5">
        <f>VLOOKUP(Y114,'Team Hub'!$B$1:$F$65,4,false)</f>
        <v>0</v>
      </c>
      <c r="AA114" s="4" t="str">
        <f>VLOOKUP(Y114,'Team Hub'!$B$1:$F$65,5,false)</f>
        <v/>
      </c>
      <c r="AB114" s="5" t="s">
        <v>94</v>
      </c>
      <c r="AC114" s="5">
        <f>VLOOKUP(AB114,'Team Hub'!$B$1:$F$65,4,false)</f>
        <v>180</v>
      </c>
      <c r="AD114" s="4" t="str">
        <f>VLOOKUP(AB114,'Team Hub'!$B$1:$F$65,5,false)</f>
        <v/>
      </c>
      <c r="AE114" s="5" t="s">
        <v>123</v>
      </c>
      <c r="AF114" s="5">
        <f>VLOOKUP(AE114,'Team Hub'!$B$1:$F$65,4,false)</f>
        <v>0</v>
      </c>
      <c r="AG114" s="4" t="str">
        <f>VLOOKUP(AE114,'Team Hub'!$B$1:$F$65,5,false)</f>
        <v/>
      </c>
      <c r="AH114" s="5" t="s">
        <v>63</v>
      </c>
      <c r="AI114" s="5">
        <f>VLOOKUP(AH114,'Team Hub'!$B$1:$F$65,4,false)</f>
        <v>0</v>
      </c>
      <c r="AJ114" s="4" t="str">
        <f>VLOOKUP(AH114,'Team Hub'!$B$1:$F$65,5,false)</f>
        <v/>
      </c>
      <c r="AK114" s="5" t="s">
        <v>64</v>
      </c>
      <c r="AL114" s="5">
        <f>VLOOKUP(AK114,'Team Hub'!$B$1:$F$65,4,false)</f>
        <v>210</v>
      </c>
      <c r="AM114" s="4" t="str">
        <f>VLOOKUP(AK114,'Team Hub'!$B$1:$F$65,5,false)</f>
        <v/>
      </c>
      <c r="AN114" s="5" t="s">
        <v>88</v>
      </c>
      <c r="AO114" s="5">
        <f>VLOOKUP(AN114,'Team Hub'!$B$1:$F$65,4,false)</f>
        <v>0</v>
      </c>
      <c r="AP114" s="4" t="str">
        <f>VLOOKUP(AN114,'Team Hub'!$B$1:$F$65,5,false)</f>
        <v/>
      </c>
      <c r="AQ114" s="5" t="s">
        <v>66</v>
      </c>
      <c r="AR114" s="5">
        <f>VLOOKUP(AQ114,'Team Hub'!$B$1:$F$65,4,false)</f>
        <v>0</v>
      </c>
      <c r="AS114" s="4" t="str">
        <f>VLOOKUP(AQ114,'Team Hub'!$B$1:$F$65,5,false)</f>
        <v/>
      </c>
      <c r="AT114" s="5" t="s">
        <v>67</v>
      </c>
      <c r="AU114" s="5">
        <f>VLOOKUP(AT114,'Team Hub'!$B$1:$F$65,4,false)</f>
        <v>0</v>
      </c>
      <c r="AV114" s="4" t="str">
        <f>VLOOKUP(AT114,'Team Hub'!$B$1:$F$65,5,false)</f>
        <v/>
      </c>
      <c r="AW114" s="5" t="s">
        <v>99</v>
      </c>
      <c r="AX114" s="5">
        <f>VLOOKUP(AW114,'Team Hub'!$B$1:$F$65,4,false)</f>
        <v>0</v>
      </c>
      <c r="AY114" s="4" t="str">
        <f>VLOOKUP(AW114,'Team Hub'!$B$1:$F$65,5,false)</f>
        <v/>
      </c>
      <c r="AZ114" s="4" t="s">
        <v>69</v>
      </c>
    </row>
    <row r="115" ht="22.5" customHeight="1">
      <c r="A115" s="4" t="s">
        <v>225</v>
      </c>
      <c r="B115" s="2">
        <f t="shared" ref="B115:C115" si="114">sum(E115+H115+K115+N115+Q115+T115+W115+Z115+AC115+AF115+AI115+AL115+AO115+AR115+AU115+AX115)</f>
        <v>1780</v>
      </c>
      <c r="C115" s="2">
        <f t="shared" si="114"/>
        <v>0</v>
      </c>
      <c r="D115" s="5" t="s">
        <v>91</v>
      </c>
      <c r="E115" s="5">
        <f>VLOOKUP(D115,'Team Hub'!$B$1:$F$65,4,false)</f>
        <v>400</v>
      </c>
      <c r="F115" s="4" t="str">
        <f>VLOOKUP(D115,'Team Hub'!$B$1:$F$65,5,false)</f>
        <v/>
      </c>
      <c r="G115" s="5" t="s">
        <v>81</v>
      </c>
      <c r="H115" s="5">
        <f>VLOOKUP(G115,'Team Hub'!$B$1:$F$65,4,false)</f>
        <v>330</v>
      </c>
      <c r="I115" s="4" t="str">
        <f>VLOOKUP(G115,'Team Hub'!$B$1:$F$65,5,false)</f>
        <v/>
      </c>
      <c r="J115" s="5" t="s">
        <v>121</v>
      </c>
      <c r="K115" s="5">
        <f>VLOOKUP(J115,'Team Hub'!$B$1:$F$65,4,false)</f>
        <v>120</v>
      </c>
      <c r="L115" s="4" t="str">
        <f>VLOOKUP(J115,'Team Hub'!$B$1:$F$65,5,false)</f>
        <v/>
      </c>
      <c r="M115" s="5" t="s">
        <v>142</v>
      </c>
      <c r="N115" s="5">
        <f>VLOOKUP(M115,'Team Hub'!$B$1:$F$65,4,false)</f>
        <v>130</v>
      </c>
      <c r="O115" s="5" t="str">
        <f>VLOOKUP(M115,'Team Hub'!$B$1:$F$65,5,false)</f>
        <v/>
      </c>
      <c r="P115" s="5" t="s">
        <v>57</v>
      </c>
      <c r="Q115" s="5">
        <f>VLOOKUP(P115,'Team Hub'!$B$1:$F$65,4,false)</f>
        <v>280</v>
      </c>
      <c r="R115" s="5" t="str">
        <f>VLOOKUP(P115,'Team Hub'!$B$1:$F$65,5,false)</f>
        <v/>
      </c>
      <c r="S115" s="5" t="s">
        <v>92</v>
      </c>
      <c r="T115" s="5">
        <f>VLOOKUP(S115,'Team Hub'!$B$1:$F$65,4,false)</f>
        <v>150</v>
      </c>
      <c r="U115" s="5" t="str">
        <f>VLOOKUP(S115,'Team Hub'!$B$1:$F$65,5,false)</f>
        <v/>
      </c>
      <c r="V115" s="5" t="s">
        <v>75</v>
      </c>
      <c r="W115" s="5">
        <f>VLOOKUP(V115,'Team Hub'!$B$1:$F$65,4,false)</f>
        <v>0</v>
      </c>
      <c r="X115" s="5" t="str">
        <f>VLOOKUP(V115,'Team Hub'!$B$1:$F$65,5,false)</f>
        <v/>
      </c>
      <c r="Y115" s="5" t="s">
        <v>126</v>
      </c>
      <c r="Z115" s="5">
        <f>VLOOKUP(Y115,'Team Hub'!$B$1:$F$65,4,false)</f>
        <v>0</v>
      </c>
      <c r="AA115" s="4" t="str">
        <f>VLOOKUP(Y115,'Team Hub'!$B$1:$F$65,5,false)</f>
        <v/>
      </c>
      <c r="AB115" s="5" t="s">
        <v>61</v>
      </c>
      <c r="AC115" s="5">
        <f>VLOOKUP(AB115,'Team Hub'!$B$1:$F$65,4,false)</f>
        <v>180</v>
      </c>
      <c r="AD115" s="4" t="str">
        <f>VLOOKUP(AB115,'Team Hub'!$B$1:$F$65,5,false)</f>
        <v/>
      </c>
      <c r="AE115" s="5" t="s">
        <v>85</v>
      </c>
      <c r="AF115" s="5">
        <f>VLOOKUP(AE115,'Team Hub'!$B$1:$F$65,4,false)</f>
        <v>190</v>
      </c>
      <c r="AG115" s="4" t="str">
        <f>VLOOKUP(AE115,'Team Hub'!$B$1:$F$65,5,false)</f>
        <v/>
      </c>
      <c r="AH115" s="5" t="s">
        <v>98</v>
      </c>
      <c r="AI115" s="5">
        <f>VLOOKUP(AH115,'Team Hub'!$B$1:$F$65,4,false)</f>
        <v>0</v>
      </c>
      <c r="AJ115" s="4" t="str">
        <f>VLOOKUP(AH115,'Team Hub'!$B$1:$F$65,5,false)</f>
        <v/>
      </c>
      <c r="AK115" s="5" t="s">
        <v>107</v>
      </c>
      <c r="AL115" s="5">
        <f>VLOOKUP(AK115,'Team Hub'!$B$1:$F$65,4,false)</f>
        <v>0</v>
      </c>
      <c r="AM115" s="4" t="str">
        <f>VLOOKUP(AK115,'Team Hub'!$B$1:$F$65,5,false)</f>
        <v/>
      </c>
      <c r="AN115" s="5" t="s">
        <v>88</v>
      </c>
      <c r="AO115" s="5">
        <f>VLOOKUP(AN115,'Team Hub'!$B$1:$F$65,4,false)</f>
        <v>0</v>
      </c>
      <c r="AP115" s="4" t="str">
        <f>VLOOKUP(AN115,'Team Hub'!$B$1:$F$65,5,false)</f>
        <v/>
      </c>
      <c r="AQ115" s="5" t="s">
        <v>78</v>
      </c>
      <c r="AR115" s="5">
        <f>VLOOKUP(AQ115,'Team Hub'!$B$1:$F$65,4,false)</f>
        <v>0</v>
      </c>
      <c r="AS115" s="4" t="str">
        <f>VLOOKUP(AQ115,'Team Hub'!$B$1:$F$65,5,false)</f>
        <v/>
      </c>
      <c r="AT115" s="5" t="s">
        <v>79</v>
      </c>
      <c r="AU115" s="5">
        <f>VLOOKUP(AT115,'Team Hub'!$B$1:$F$65,4,false)</f>
        <v>0</v>
      </c>
      <c r="AV115" s="4" t="str">
        <f>VLOOKUP(AT115,'Team Hub'!$B$1:$F$65,5,false)</f>
        <v/>
      </c>
      <c r="AW115" s="5" t="s">
        <v>99</v>
      </c>
      <c r="AX115" s="5">
        <f>VLOOKUP(AW115,'Team Hub'!$B$1:$F$65,4,false)</f>
        <v>0</v>
      </c>
      <c r="AY115" s="4" t="str">
        <f>VLOOKUP(AW115,'Team Hub'!$B$1:$F$65,5,false)</f>
        <v/>
      </c>
      <c r="AZ115" s="4" t="s">
        <v>69</v>
      </c>
    </row>
    <row r="116" ht="22.5" customHeight="1">
      <c r="A116" s="4" t="s">
        <v>193</v>
      </c>
      <c r="B116" s="2">
        <f t="shared" ref="B116:C116" si="115">sum(E116+H116+K116+N116+Q116+T116+W116+Z116+AC116+AF116+AI116+AL116+AO116+AR116+AU116+AX116)</f>
        <v>1770</v>
      </c>
      <c r="C116" s="2">
        <f t="shared" si="115"/>
        <v>1</v>
      </c>
      <c r="D116" s="4" t="s">
        <v>71</v>
      </c>
      <c r="E116" s="4">
        <f>VLOOKUP(D116,'Team Hub'!$B$1:$F$65,4,false)</f>
        <v>600</v>
      </c>
      <c r="F116" s="4">
        <f>VLOOKUP(D116,'Team Hub'!$B$1:$F$65,5,false)</f>
        <v>1</v>
      </c>
      <c r="G116" s="5" t="s">
        <v>81</v>
      </c>
      <c r="H116" s="5">
        <f>VLOOKUP(G116,'Team Hub'!$B$1:$F$65,4,false)</f>
        <v>330</v>
      </c>
      <c r="I116" s="4" t="str">
        <f>VLOOKUP(G116,'Team Hub'!$B$1:$F$65,5,false)</f>
        <v/>
      </c>
      <c r="J116" s="5" t="s">
        <v>121</v>
      </c>
      <c r="K116" s="5">
        <f>VLOOKUP(J116,'Team Hub'!$B$1:$F$65,4,false)</f>
        <v>120</v>
      </c>
      <c r="L116" s="4" t="str">
        <f>VLOOKUP(J116,'Team Hub'!$B$1:$F$65,5,false)</f>
        <v/>
      </c>
      <c r="M116" s="5" t="s">
        <v>142</v>
      </c>
      <c r="N116" s="5">
        <f>VLOOKUP(M116,'Team Hub'!$B$1:$F$65,4,false)</f>
        <v>130</v>
      </c>
      <c r="O116" s="5" t="str">
        <f>VLOOKUP(M116,'Team Hub'!$B$1:$F$65,5,false)</f>
        <v/>
      </c>
      <c r="P116" s="5" t="s">
        <v>132</v>
      </c>
      <c r="Q116" s="5">
        <f>VLOOKUP(P116,'Team Hub'!$B$1:$F$65,4,false)</f>
        <v>0</v>
      </c>
      <c r="R116" s="5" t="str">
        <f>VLOOKUP(P116,'Team Hub'!$B$1:$F$65,5,false)</f>
        <v/>
      </c>
      <c r="S116" s="5" t="s">
        <v>113</v>
      </c>
      <c r="T116" s="5">
        <f>VLOOKUP(S116,'Team Hub'!$B$1:$F$65,4,false)</f>
        <v>0</v>
      </c>
      <c r="U116" s="5" t="str">
        <f>VLOOKUP(S116,'Team Hub'!$B$1:$F$65,5,false)</f>
        <v/>
      </c>
      <c r="V116" s="5" t="s">
        <v>83</v>
      </c>
      <c r="W116" s="5">
        <f>VLOOKUP(V116,'Team Hub'!$B$1:$F$65,4,false)</f>
        <v>0</v>
      </c>
      <c r="X116" s="5" t="str">
        <f>VLOOKUP(V116,'Team Hub'!$B$1:$F$65,5,false)</f>
        <v/>
      </c>
      <c r="Y116" s="5" t="s">
        <v>126</v>
      </c>
      <c r="Z116" s="5">
        <f>VLOOKUP(Y116,'Team Hub'!$B$1:$F$65,4,false)</f>
        <v>0</v>
      </c>
      <c r="AA116" s="4" t="str">
        <f>VLOOKUP(Y116,'Team Hub'!$B$1:$F$65,5,false)</f>
        <v/>
      </c>
      <c r="AB116" s="5" t="s">
        <v>114</v>
      </c>
      <c r="AC116" s="5">
        <f>VLOOKUP(AB116,'Team Hub'!$B$1:$F$65,4,false)</f>
        <v>0</v>
      </c>
      <c r="AD116" s="4" t="str">
        <f>VLOOKUP(AB116,'Team Hub'!$B$1:$F$65,5,false)</f>
        <v/>
      </c>
      <c r="AE116" s="5" t="s">
        <v>62</v>
      </c>
      <c r="AF116" s="5">
        <f>VLOOKUP(AE116,'Team Hub'!$B$1:$F$65,4,false)</f>
        <v>380</v>
      </c>
      <c r="AG116" s="4" t="str">
        <f>VLOOKUP(AE116,'Team Hub'!$B$1:$F$65,5,false)</f>
        <v/>
      </c>
      <c r="AH116" s="5" t="s">
        <v>63</v>
      </c>
      <c r="AI116" s="5">
        <f>VLOOKUP(AH116,'Team Hub'!$B$1:$F$65,4,false)</f>
        <v>0</v>
      </c>
      <c r="AJ116" s="4" t="str">
        <f>VLOOKUP(AH116,'Team Hub'!$B$1:$F$65,5,false)</f>
        <v/>
      </c>
      <c r="AK116" s="5" t="s">
        <v>87</v>
      </c>
      <c r="AL116" s="5">
        <f>VLOOKUP(AK116,'Team Hub'!$B$1:$F$65,4,false)</f>
        <v>210</v>
      </c>
      <c r="AM116" s="4" t="str">
        <f>VLOOKUP(AK116,'Team Hub'!$B$1:$F$65,5,false)</f>
        <v/>
      </c>
      <c r="AN116" s="5" t="s">
        <v>88</v>
      </c>
      <c r="AO116" s="5">
        <f>VLOOKUP(AN116,'Team Hub'!$B$1:$F$65,4,false)</f>
        <v>0</v>
      </c>
      <c r="AP116" s="4" t="str">
        <f>VLOOKUP(AN116,'Team Hub'!$B$1:$F$65,5,false)</f>
        <v/>
      </c>
      <c r="AQ116" s="5" t="s">
        <v>78</v>
      </c>
      <c r="AR116" s="5">
        <f>VLOOKUP(AQ116,'Team Hub'!$B$1:$F$65,4,false)</f>
        <v>0</v>
      </c>
      <c r="AS116" s="4" t="str">
        <f>VLOOKUP(AQ116,'Team Hub'!$B$1:$F$65,5,false)</f>
        <v/>
      </c>
      <c r="AT116" s="5" t="s">
        <v>67</v>
      </c>
      <c r="AU116" s="5">
        <f>VLOOKUP(AT116,'Team Hub'!$B$1:$F$65,4,false)</f>
        <v>0</v>
      </c>
      <c r="AV116" s="4" t="str">
        <f>VLOOKUP(AT116,'Team Hub'!$B$1:$F$65,5,false)</f>
        <v/>
      </c>
      <c r="AW116" s="5" t="s">
        <v>95</v>
      </c>
      <c r="AX116" s="5">
        <f>VLOOKUP(AW116,'Team Hub'!$B$1:$F$65,4,false)</f>
        <v>0</v>
      </c>
      <c r="AY116" s="4" t="str">
        <f>VLOOKUP(AW116,'Team Hub'!$B$1:$F$65,5,false)</f>
        <v/>
      </c>
      <c r="AZ116" s="4" t="s">
        <v>69</v>
      </c>
    </row>
    <row r="117" ht="22.5" customHeight="1">
      <c r="A117" s="4" t="s">
        <v>230</v>
      </c>
      <c r="B117" s="2">
        <f t="shared" ref="B117:C117" si="116">sum(E117+H117+K117+N117+Q117+T117+W117+Z117+AC117+AF117+AI117+AL117+AO117+AR117+AU117+AX117)</f>
        <v>1750</v>
      </c>
      <c r="C117" s="2">
        <f t="shared" si="116"/>
        <v>0</v>
      </c>
      <c r="D117" s="5" t="s">
        <v>53</v>
      </c>
      <c r="E117" s="5">
        <f>VLOOKUP(D117,'Team Hub'!$B$1:$F$65,4,false)</f>
        <v>400</v>
      </c>
      <c r="F117" s="4" t="str">
        <f>VLOOKUP(D117,'Team Hub'!$B$1:$F$65,5,false)</f>
        <v/>
      </c>
      <c r="G117" s="5" t="s">
        <v>81</v>
      </c>
      <c r="H117" s="5">
        <f>VLOOKUP(G117,'Team Hub'!$B$1:$F$65,4,false)</f>
        <v>330</v>
      </c>
      <c r="I117" s="4" t="str">
        <f>VLOOKUP(G117,'Team Hub'!$B$1:$F$65,5,false)</f>
        <v/>
      </c>
      <c r="J117" s="5" t="s">
        <v>101</v>
      </c>
      <c r="K117" s="5">
        <f>VLOOKUP(J117,'Team Hub'!$B$1:$F$65,4,false)</f>
        <v>120</v>
      </c>
      <c r="L117" s="4" t="str">
        <f>VLOOKUP(J117,'Team Hub'!$B$1:$F$65,5,false)</f>
        <v/>
      </c>
      <c r="M117" s="5" t="s">
        <v>56</v>
      </c>
      <c r="N117" s="5">
        <f>VLOOKUP(M117,'Team Hub'!$B$1:$F$65,4,false)</f>
        <v>260</v>
      </c>
      <c r="O117" s="5" t="str">
        <f>VLOOKUP(M117,'Team Hub'!$B$1:$F$65,5,false)</f>
        <v/>
      </c>
      <c r="P117" s="5" t="s">
        <v>57</v>
      </c>
      <c r="Q117" s="5">
        <f>VLOOKUP(P117,'Team Hub'!$B$1:$F$65,4,false)</f>
        <v>280</v>
      </c>
      <c r="R117" s="5" t="str">
        <f>VLOOKUP(P117,'Team Hub'!$B$1:$F$65,5,false)</f>
        <v/>
      </c>
      <c r="S117" s="5" t="s">
        <v>113</v>
      </c>
      <c r="T117" s="5">
        <f>VLOOKUP(S117,'Team Hub'!$B$1:$F$65,4,false)</f>
        <v>0</v>
      </c>
      <c r="U117" s="5" t="str">
        <f>VLOOKUP(S117,'Team Hub'!$B$1:$F$65,5,false)</f>
        <v/>
      </c>
      <c r="V117" s="5" t="s">
        <v>83</v>
      </c>
      <c r="W117" s="5">
        <f>VLOOKUP(V117,'Team Hub'!$B$1:$F$65,4,false)</f>
        <v>0</v>
      </c>
      <c r="X117" s="5" t="str">
        <f>VLOOKUP(V117,'Team Hub'!$B$1:$F$65,5,false)</f>
        <v/>
      </c>
      <c r="Y117" s="5" t="s">
        <v>76</v>
      </c>
      <c r="Z117" s="5">
        <f>VLOOKUP(Y117,'Team Hub'!$B$1:$F$65,4,false)</f>
        <v>170</v>
      </c>
      <c r="AA117" s="4" t="str">
        <f>VLOOKUP(Y117,'Team Hub'!$B$1:$F$65,5,false)</f>
        <v/>
      </c>
      <c r="AB117" s="5" t="s">
        <v>114</v>
      </c>
      <c r="AC117" s="5">
        <f>VLOOKUP(AB117,'Team Hub'!$B$1:$F$65,4,false)</f>
        <v>0</v>
      </c>
      <c r="AD117" s="4" t="str">
        <f>VLOOKUP(AB117,'Team Hub'!$B$1:$F$65,5,false)</f>
        <v/>
      </c>
      <c r="AE117" s="5" t="s">
        <v>85</v>
      </c>
      <c r="AF117" s="5">
        <f>VLOOKUP(AE117,'Team Hub'!$B$1:$F$65,4,false)</f>
        <v>190</v>
      </c>
      <c r="AG117" s="4" t="str">
        <f>VLOOKUP(AE117,'Team Hub'!$B$1:$F$65,5,false)</f>
        <v/>
      </c>
      <c r="AH117" s="5" t="s">
        <v>116</v>
      </c>
      <c r="AI117" s="5">
        <f>VLOOKUP(AH117,'Team Hub'!$B$1:$F$65,4,false)</f>
        <v>0</v>
      </c>
      <c r="AJ117" s="4" t="str">
        <f>VLOOKUP(AH117,'Team Hub'!$B$1:$F$65,5,false)</f>
        <v/>
      </c>
      <c r="AK117" s="5" t="s">
        <v>138</v>
      </c>
      <c r="AL117" s="5">
        <f>VLOOKUP(AK117,'Team Hub'!$B$1:$F$65,4,false)</f>
        <v>0</v>
      </c>
      <c r="AM117" s="4" t="str">
        <f>VLOOKUP(AK117,'Team Hub'!$B$1:$F$65,5,false)</f>
        <v/>
      </c>
      <c r="AN117" s="5" t="s">
        <v>77</v>
      </c>
      <c r="AO117" s="5">
        <f>VLOOKUP(AN117,'Team Hub'!$B$1:$F$65,4,false)</f>
        <v>0</v>
      </c>
      <c r="AP117" s="4" t="str">
        <f>VLOOKUP(AN117,'Team Hub'!$B$1:$F$65,5,false)</f>
        <v/>
      </c>
      <c r="AQ117" s="5" t="s">
        <v>117</v>
      </c>
      <c r="AR117" s="5">
        <f>VLOOKUP(AQ117,'Team Hub'!$B$1:$F$65,4,false)</f>
        <v>0</v>
      </c>
      <c r="AS117" s="4" t="str">
        <f>VLOOKUP(AQ117,'Team Hub'!$B$1:$F$65,5,false)</f>
        <v/>
      </c>
      <c r="AT117" s="5" t="s">
        <v>67</v>
      </c>
      <c r="AU117" s="5">
        <f>VLOOKUP(AT117,'Team Hub'!$B$1:$F$65,4,false)</f>
        <v>0</v>
      </c>
      <c r="AV117" s="4" t="str">
        <f>VLOOKUP(AT117,'Team Hub'!$B$1:$F$65,5,false)</f>
        <v/>
      </c>
      <c r="AW117" s="5" t="s">
        <v>99</v>
      </c>
      <c r="AX117" s="5">
        <f>VLOOKUP(AW117,'Team Hub'!$B$1:$F$65,4,false)</f>
        <v>0</v>
      </c>
      <c r="AY117" s="4" t="str">
        <f>VLOOKUP(AW117,'Team Hub'!$B$1:$F$65,5,false)</f>
        <v/>
      </c>
      <c r="AZ117" s="4" t="s">
        <v>69</v>
      </c>
    </row>
    <row r="118" ht="22.5" customHeight="1">
      <c r="A118" s="4" t="s">
        <v>231</v>
      </c>
      <c r="B118" s="2">
        <f t="shared" ref="B118:C118" si="117">sum(E118+H118+K118+N118+Q118+T118+W118+Z118+AC118+AF118+AI118+AL118+AO118+AR118+AU118+AX118)</f>
        <v>1730</v>
      </c>
      <c r="C118" s="2">
        <f t="shared" si="117"/>
        <v>0</v>
      </c>
      <c r="D118" s="5" t="s">
        <v>53</v>
      </c>
      <c r="E118" s="5">
        <f>VLOOKUP(D118,'Team Hub'!$B$1:$F$65,4,false)</f>
        <v>400</v>
      </c>
      <c r="F118" s="4" t="str">
        <f>VLOOKUP(D118,'Team Hub'!$B$1:$F$65,5,false)</f>
        <v/>
      </c>
      <c r="G118" s="5" t="s">
        <v>81</v>
      </c>
      <c r="H118" s="5">
        <f>VLOOKUP(G118,'Team Hub'!$B$1:$F$65,4,false)</f>
        <v>330</v>
      </c>
      <c r="I118" s="4" t="str">
        <f>VLOOKUP(G118,'Team Hub'!$B$1:$F$65,5,false)</f>
        <v/>
      </c>
      <c r="J118" s="5" t="s">
        <v>73</v>
      </c>
      <c r="K118" s="5">
        <f>VLOOKUP(J118,'Team Hub'!$B$1:$F$65,4,false)</f>
        <v>240</v>
      </c>
      <c r="L118" s="4" t="str">
        <f>VLOOKUP(J118,'Team Hub'!$B$1:$F$65,5,false)</f>
        <v/>
      </c>
      <c r="M118" s="5" t="s">
        <v>97</v>
      </c>
      <c r="N118" s="5">
        <f>VLOOKUP(M118,'Team Hub'!$B$1:$F$65,4,false)</f>
        <v>260</v>
      </c>
      <c r="O118" s="5" t="str">
        <f>VLOOKUP(M118,'Team Hub'!$B$1:$F$65,5,false)</f>
        <v/>
      </c>
      <c r="P118" s="5" t="s">
        <v>132</v>
      </c>
      <c r="Q118" s="5">
        <f>VLOOKUP(P118,'Team Hub'!$B$1:$F$65,4,false)</f>
        <v>0</v>
      </c>
      <c r="R118" s="5" t="str">
        <f>VLOOKUP(P118,'Team Hub'!$B$1:$F$65,5,false)</f>
        <v/>
      </c>
      <c r="S118" s="5" t="s">
        <v>82</v>
      </c>
      <c r="T118" s="5">
        <f>VLOOKUP(S118,'Team Hub'!$B$1:$F$65,4,false)</f>
        <v>300</v>
      </c>
      <c r="U118" s="5" t="str">
        <f>VLOOKUP(S118,'Team Hub'!$B$1:$F$65,5,false)</f>
        <v/>
      </c>
      <c r="V118" s="5" t="s">
        <v>83</v>
      </c>
      <c r="W118" s="5">
        <f>VLOOKUP(V118,'Team Hub'!$B$1:$F$65,4,false)</f>
        <v>0</v>
      </c>
      <c r="X118" s="5" t="str">
        <f>VLOOKUP(V118,'Team Hub'!$B$1:$F$65,5,false)</f>
        <v/>
      </c>
      <c r="Y118" s="5" t="s">
        <v>126</v>
      </c>
      <c r="Z118" s="5">
        <f>VLOOKUP(Y118,'Team Hub'!$B$1:$F$65,4,false)</f>
        <v>0</v>
      </c>
      <c r="AA118" s="4" t="str">
        <f>VLOOKUP(Y118,'Team Hub'!$B$1:$F$65,5,false)</f>
        <v/>
      </c>
      <c r="AB118" s="5" t="s">
        <v>114</v>
      </c>
      <c r="AC118" s="5">
        <f>VLOOKUP(AB118,'Team Hub'!$B$1:$F$65,4,false)</f>
        <v>0</v>
      </c>
      <c r="AD118" s="4" t="str">
        <f>VLOOKUP(AB118,'Team Hub'!$B$1:$F$65,5,false)</f>
        <v/>
      </c>
      <c r="AE118" s="5" t="s">
        <v>154</v>
      </c>
      <c r="AF118" s="5">
        <f>VLOOKUP(AE118,'Team Hub'!$B$1:$F$65,4,false)</f>
        <v>0</v>
      </c>
      <c r="AG118" s="4" t="str">
        <f>VLOOKUP(AE118,'Team Hub'!$B$1:$F$65,5,false)</f>
        <v/>
      </c>
      <c r="AH118" s="5" t="s">
        <v>86</v>
      </c>
      <c r="AI118" s="5">
        <f>VLOOKUP(AH118,'Team Hub'!$B$1:$F$65,4,false)</f>
        <v>200</v>
      </c>
      <c r="AJ118" s="4" t="str">
        <f>VLOOKUP(AH118,'Team Hub'!$B$1:$F$65,5,false)</f>
        <v/>
      </c>
      <c r="AK118" s="5" t="s">
        <v>107</v>
      </c>
      <c r="AL118" s="5">
        <f>VLOOKUP(AK118,'Team Hub'!$B$1:$F$65,4,false)</f>
        <v>0</v>
      </c>
      <c r="AM118" s="4" t="str">
        <f>VLOOKUP(AK118,'Team Hub'!$B$1:$F$65,5,false)</f>
        <v/>
      </c>
      <c r="AN118" s="5" t="s">
        <v>88</v>
      </c>
      <c r="AO118" s="5">
        <f>VLOOKUP(AN118,'Team Hub'!$B$1:$F$65,4,false)</f>
        <v>0</v>
      </c>
      <c r="AP118" s="4" t="str">
        <f>VLOOKUP(AN118,'Team Hub'!$B$1:$F$65,5,false)</f>
        <v/>
      </c>
      <c r="AQ118" s="5" t="s">
        <v>78</v>
      </c>
      <c r="AR118" s="5">
        <f>VLOOKUP(AQ118,'Team Hub'!$B$1:$F$65,4,false)</f>
        <v>0</v>
      </c>
      <c r="AS118" s="4" t="str">
        <f>VLOOKUP(AQ118,'Team Hub'!$B$1:$F$65,5,false)</f>
        <v/>
      </c>
      <c r="AT118" s="5" t="s">
        <v>129</v>
      </c>
      <c r="AU118" s="5">
        <f>VLOOKUP(AT118,'Team Hub'!$B$1:$F$65,4,false)</f>
        <v>0</v>
      </c>
      <c r="AV118" s="4" t="str">
        <f>VLOOKUP(AT118,'Team Hub'!$B$1:$F$65,5,false)</f>
        <v/>
      </c>
      <c r="AW118" s="5" t="s">
        <v>95</v>
      </c>
      <c r="AX118" s="5">
        <f>VLOOKUP(AW118,'Team Hub'!$B$1:$F$65,4,false)</f>
        <v>0</v>
      </c>
      <c r="AY118" s="4" t="str">
        <f>VLOOKUP(AW118,'Team Hub'!$B$1:$F$65,5,false)</f>
        <v/>
      </c>
      <c r="AZ118" s="4" t="s">
        <v>69</v>
      </c>
    </row>
    <row r="119" ht="22.5" customHeight="1">
      <c r="A119" s="4" t="s">
        <v>232</v>
      </c>
      <c r="B119" s="2">
        <f t="shared" ref="B119:C119" si="118">sum(E119+H119+K119+N119+Q119+T119+W119+Z119+AC119+AF119+AI119+AL119+AO119+AR119+AU119+AX119)</f>
        <v>1730</v>
      </c>
      <c r="C119" s="2">
        <f t="shared" si="118"/>
        <v>0</v>
      </c>
      <c r="D119" s="5" t="s">
        <v>53</v>
      </c>
      <c r="E119" s="5">
        <f>VLOOKUP(D119,'Team Hub'!$B$1:$F$65,4,false)</f>
        <v>400</v>
      </c>
      <c r="F119" s="4" t="str">
        <f>VLOOKUP(D119,'Team Hub'!$B$1:$F$65,5,false)</f>
        <v/>
      </c>
      <c r="G119" s="5" t="s">
        <v>81</v>
      </c>
      <c r="H119" s="5">
        <f>VLOOKUP(G119,'Team Hub'!$B$1:$F$65,4,false)</f>
        <v>330</v>
      </c>
      <c r="I119" s="4" t="str">
        <f>VLOOKUP(G119,'Team Hub'!$B$1:$F$65,5,false)</f>
        <v/>
      </c>
      <c r="J119" s="5" t="s">
        <v>101</v>
      </c>
      <c r="K119" s="5">
        <f>VLOOKUP(J119,'Team Hub'!$B$1:$F$65,4,false)</f>
        <v>120</v>
      </c>
      <c r="L119" s="4" t="str">
        <f>VLOOKUP(J119,'Team Hub'!$B$1:$F$65,5,false)</f>
        <v/>
      </c>
      <c r="M119" s="5" t="s">
        <v>56</v>
      </c>
      <c r="N119" s="5">
        <f>VLOOKUP(M119,'Team Hub'!$B$1:$F$65,4,false)</f>
        <v>260</v>
      </c>
      <c r="O119" s="5" t="str">
        <f>VLOOKUP(M119,'Team Hub'!$B$1:$F$65,5,false)</f>
        <v/>
      </c>
      <c r="P119" s="5" t="s">
        <v>102</v>
      </c>
      <c r="Q119" s="5">
        <f>VLOOKUP(P119,'Team Hub'!$B$1:$F$65,4,false)</f>
        <v>140</v>
      </c>
      <c r="R119" s="5" t="str">
        <f>VLOOKUP(P119,'Team Hub'!$B$1:$F$65,5,false)</f>
        <v/>
      </c>
      <c r="S119" s="5" t="s">
        <v>92</v>
      </c>
      <c r="T119" s="5">
        <f>VLOOKUP(S119,'Team Hub'!$B$1:$F$65,4,false)</f>
        <v>150</v>
      </c>
      <c r="U119" s="5" t="str">
        <f>VLOOKUP(S119,'Team Hub'!$B$1:$F$65,5,false)</f>
        <v/>
      </c>
      <c r="V119" s="5" t="s">
        <v>59</v>
      </c>
      <c r="W119" s="5">
        <f>VLOOKUP(V119,'Team Hub'!$B$1:$F$65,4,false)</f>
        <v>160</v>
      </c>
      <c r="X119" s="5" t="str">
        <f>VLOOKUP(V119,'Team Hub'!$B$1:$F$65,5,false)</f>
        <v/>
      </c>
      <c r="Y119" s="5" t="s">
        <v>60</v>
      </c>
      <c r="Z119" s="5">
        <f>VLOOKUP(Y119,'Team Hub'!$B$1:$F$65,4,false)</f>
        <v>170</v>
      </c>
      <c r="AA119" s="4" t="str">
        <f>VLOOKUP(Y119,'Team Hub'!$B$1:$F$65,5,false)</f>
        <v/>
      </c>
      <c r="AB119" s="5" t="s">
        <v>114</v>
      </c>
      <c r="AC119" s="5">
        <f>VLOOKUP(AB119,'Team Hub'!$B$1:$F$65,4,false)</f>
        <v>0</v>
      </c>
      <c r="AD119" s="4" t="str">
        <f>VLOOKUP(AB119,'Team Hub'!$B$1:$F$65,5,false)</f>
        <v/>
      </c>
      <c r="AE119" s="5" t="s">
        <v>154</v>
      </c>
      <c r="AF119" s="5">
        <f>VLOOKUP(AE119,'Team Hub'!$B$1:$F$65,4,false)</f>
        <v>0</v>
      </c>
      <c r="AG119" s="4" t="str">
        <f>VLOOKUP(AE119,'Team Hub'!$B$1:$F$65,5,false)</f>
        <v/>
      </c>
      <c r="AH119" s="5" t="s">
        <v>98</v>
      </c>
      <c r="AI119" s="5">
        <f>VLOOKUP(AH119,'Team Hub'!$B$1:$F$65,4,false)</f>
        <v>0</v>
      </c>
      <c r="AJ119" s="4" t="str">
        <f>VLOOKUP(AH119,'Team Hub'!$B$1:$F$65,5,false)</f>
        <v/>
      </c>
      <c r="AK119" s="5" t="s">
        <v>107</v>
      </c>
      <c r="AL119" s="5">
        <f>VLOOKUP(AK119,'Team Hub'!$B$1:$F$65,4,false)</f>
        <v>0</v>
      </c>
      <c r="AM119" s="4" t="str">
        <f>VLOOKUP(AK119,'Team Hub'!$B$1:$F$65,5,false)</f>
        <v/>
      </c>
      <c r="AN119" s="5" t="s">
        <v>110</v>
      </c>
      <c r="AO119" s="5">
        <f>VLOOKUP(AN119,'Team Hub'!$B$1:$F$65,4,false)</f>
        <v>0</v>
      </c>
      <c r="AP119" s="4" t="str">
        <f>VLOOKUP(AN119,'Team Hub'!$B$1:$F$65,5,false)</f>
        <v/>
      </c>
      <c r="AQ119" s="5" t="s">
        <v>66</v>
      </c>
      <c r="AR119" s="5">
        <f>VLOOKUP(AQ119,'Team Hub'!$B$1:$F$65,4,false)</f>
        <v>0</v>
      </c>
      <c r="AS119" s="4" t="str">
        <f>VLOOKUP(AQ119,'Team Hub'!$B$1:$F$65,5,false)</f>
        <v/>
      </c>
      <c r="AT119" s="5" t="s">
        <v>79</v>
      </c>
      <c r="AU119" s="5">
        <f>VLOOKUP(AT119,'Team Hub'!$B$1:$F$65,4,false)</f>
        <v>0</v>
      </c>
      <c r="AV119" s="4" t="str">
        <f>VLOOKUP(AT119,'Team Hub'!$B$1:$F$65,5,false)</f>
        <v/>
      </c>
      <c r="AW119" s="5" t="s">
        <v>99</v>
      </c>
      <c r="AX119" s="5">
        <f>VLOOKUP(AW119,'Team Hub'!$B$1:$F$65,4,false)</f>
        <v>0</v>
      </c>
      <c r="AY119" s="4" t="str">
        <f>VLOOKUP(AW119,'Team Hub'!$B$1:$F$65,5,false)</f>
        <v/>
      </c>
      <c r="AZ119" s="4" t="s">
        <v>69</v>
      </c>
    </row>
    <row r="120" ht="22.5" customHeight="1">
      <c r="A120" s="4" t="s">
        <v>233</v>
      </c>
      <c r="B120" s="2">
        <f t="shared" ref="B120:C120" si="119">sum(E120+H120+K120+N120+Q120+T120+W120+Z120+AC120+AF120+AI120+AL120+AO120+AR120+AU120+AX120)</f>
        <v>1730</v>
      </c>
      <c r="C120" s="2">
        <f t="shared" si="119"/>
        <v>1</v>
      </c>
      <c r="D120" s="4" t="s">
        <v>71</v>
      </c>
      <c r="E120" s="4">
        <f>VLOOKUP(D120,'Team Hub'!$B$1:$F$65,4,false)</f>
        <v>600</v>
      </c>
      <c r="F120" s="4">
        <f>VLOOKUP(D120,'Team Hub'!$B$1:$F$65,5,false)</f>
        <v>1</v>
      </c>
      <c r="G120" s="5" t="s">
        <v>54</v>
      </c>
      <c r="H120" s="5">
        <f>VLOOKUP(G120,'Team Hub'!$B$1:$F$65,4,false)</f>
        <v>330</v>
      </c>
      <c r="I120" s="4" t="str">
        <f>VLOOKUP(G120,'Team Hub'!$B$1:$F$65,5,false)</f>
        <v/>
      </c>
      <c r="J120" s="5" t="s">
        <v>55</v>
      </c>
      <c r="K120" s="5">
        <f>VLOOKUP(J120,'Team Hub'!$B$1:$F$65,4,false)</f>
        <v>360</v>
      </c>
      <c r="L120" s="4" t="str">
        <f>VLOOKUP(J120,'Team Hub'!$B$1:$F$65,5,false)</f>
        <v/>
      </c>
      <c r="M120" s="5" t="s">
        <v>142</v>
      </c>
      <c r="N120" s="5">
        <f>VLOOKUP(M120,'Team Hub'!$B$1:$F$65,4,false)</f>
        <v>130</v>
      </c>
      <c r="O120" s="5" t="str">
        <f>VLOOKUP(M120,'Team Hub'!$B$1:$F$65,5,false)</f>
        <v/>
      </c>
      <c r="P120" s="5" t="s">
        <v>132</v>
      </c>
      <c r="Q120" s="5">
        <f>VLOOKUP(P120,'Team Hub'!$B$1:$F$65,4,false)</f>
        <v>0</v>
      </c>
      <c r="R120" s="5" t="str">
        <f>VLOOKUP(P120,'Team Hub'!$B$1:$F$65,5,false)</f>
        <v/>
      </c>
      <c r="S120" s="5" t="s">
        <v>92</v>
      </c>
      <c r="T120" s="5">
        <f>VLOOKUP(S120,'Team Hub'!$B$1:$F$65,4,false)</f>
        <v>150</v>
      </c>
      <c r="U120" s="5" t="str">
        <f>VLOOKUP(S120,'Team Hub'!$B$1:$F$65,5,false)</f>
        <v/>
      </c>
      <c r="V120" s="5" t="s">
        <v>93</v>
      </c>
      <c r="W120" s="5">
        <f>VLOOKUP(V120,'Team Hub'!$B$1:$F$65,4,false)</f>
        <v>160</v>
      </c>
      <c r="X120" s="5" t="str">
        <f>VLOOKUP(V120,'Team Hub'!$B$1:$F$65,5,false)</f>
        <v/>
      </c>
      <c r="Y120" s="5" t="s">
        <v>126</v>
      </c>
      <c r="Z120" s="5">
        <f>VLOOKUP(Y120,'Team Hub'!$B$1:$F$65,4,false)</f>
        <v>0</v>
      </c>
      <c r="AA120" s="4" t="str">
        <f>VLOOKUP(Y120,'Team Hub'!$B$1:$F$65,5,false)</f>
        <v/>
      </c>
      <c r="AB120" s="5" t="s">
        <v>114</v>
      </c>
      <c r="AC120" s="5">
        <f>VLOOKUP(AB120,'Team Hub'!$B$1:$F$65,4,false)</f>
        <v>0</v>
      </c>
      <c r="AD120" s="4" t="str">
        <f>VLOOKUP(AB120,'Team Hub'!$B$1:$F$65,5,false)</f>
        <v/>
      </c>
      <c r="AE120" s="5" t="s">
        <v>123</v>
      </c>
      <c r="AF120" s="5">
        <f>VLOOKUP(AE120,'Team Hub'!$B$1:$F$65,4,false)</f>
        <v>0</v>
      </c>
      <c r="AG120" s="4" t="str">
        <f>VLOOKUP(AE120,'Team Hub'!$B$1:$F$65,5,false)</f>
        <v/>
      </c>
      <c r="AH120" s="5" t="s">
        <v>116</v>
      </c>
      <c r="AI120" s="5">
        <f>VLOOKUP(AH120,'Team Hub'!$B$1:$F$65,4,false)</f>
        <v>0</v>
      </c>
      <c r="AJ120" s="4" t="str">
        <f>VLOOKUP(AH120,'Team Hub'!$B$1:$F$65,5,false)</f>
        <v/>
      </c>
      <c r="AK120" s="5" t="s">
        <v>138</v>
      </c>
      <c r="AL120" s="5">
        <f>VLOOKUP(AK120,'Team Hub'!$B$1:$F$65,4,false)</f>
        <v>0</v>
      </c>
      <c r="AM120" s="4" t="str">
        <f>VLOOKUP(AK120,'Team Hub'!$B$1:$F$65,5,false)</f>
        <v/>
      </c>
      <c r="AN120" s="5" t="s">
        <v>110</v>
      </c>
      <c r="AO120" s="5">
        <f>VLOOKUP(AN120,'Team Hub'!$B$1:$F$65,4,false)</f>
        <v>0</v>
      </c>
      <c r="AP120" s="4" t="str">
        <f>VLOOKUP(AN120,'Team Hub'!$B$1:$F$65,5,false)</f>
        <v/>
      </c>
      <c r="AQ120" s="5" t="s">
        <v>66</v>
      </c>
      <c r="AR120" s="5">
        <f>VLOOKUP(AQ120,'Team Hub'!$B$1:$F$65,4,false)</f>
        <v>0</v>
      </c>
      <c r="AS120" s="4" t="str">
        <f>VLOOKUP(AQ120,'Team Hub'!$B$1:$F$65,5,false)</f>
        <v/>
      </c>
      <c r="AT120" s="5" t="s">
        <v>79</v>
      </c>
      <c r="AU120" s="5">
        <f>VLOOKUP(AT120,'Team Hub'!$B$1:$F$65,4,false)</f>
        <v>0</v>
      </c>
      <c r="AV120" s="4" t="str">
        <f>VLOOKUP(AT120,'Team Hub'!$B$1:$F$65,5,false)</f>
        <v/>
      </c>
      <c r="AW120" s="5" t="s">
        <v>99</v>
      </c>
      <c r="AX120" s="5">
        <f>VLOOKUP(AW120,'Team Hub'!$B$1:$F$65,4,false)</f>
        <v>0</v>
      </c>
      <c r="AY120" s="4" t="str">
        <f>VLOOKUP(AW120,'Team Hub'!$B$1:$F$65,5,false)</f>
        <v/>
      </c>
      <c r="AZ120" s="4" t="s">
        <v>69</v>
      </c>
    </row>
    <row r="121" ht="22.5" customHeight="1">
      <c r="A121" s="4" t="s">
        <v>234</v>
      </c>
      <c r="B121" s="2">
        <f t="shared" ref="B121:C121" si="120">sum(E121+H121+K121+N121+Q121+T121+W121+Z121+AC121+AF121+AI121+AL121+AO121+AR121+AU121+AX121)</f>
        <v>1720</v>
      </c>
      <c r="C121" s="2">
        <f t="shared" si="120"/>
        <v>0</v>
      </c>
      <c r="D121" s="5" t="s">
        <v>53</v>
      </c>
      <c r="E121" s="5">
        <f>VLOOKUP(D121,'Team Hub'!$B$1:$F$65,4,false)</f>
        <v>400</v>
      </c>
      <c r="F121" s="4" t="str">
        <f>VLOOKUP(D121,'Team Hub'!$B$1:$F$65,5,false)</f>
        <v/>
      </c>
      <c r="G121" s="5" t="s">
        <v>109</v>
      </c>
      <c r="H121" s="5">
        <f>VLOOKUP(G121,'Team Hub'!$B$1:$F$65,4,false)</f>
        <v>110</v>
      </c>
      <c r="I121" s="4" t="str">
        <f>VLOOKUP(G121,'Team Hub'!$B$1:$F$65,5,false)</f>
        <v/>
      </c>
      <c r="J121" s="5" t="s">
        <v>73</v>
      </c>
      <c r="K121" s="5">
        <f>VLOOKUP(J121,'Team Hub'!$B$1:$F$65,4,false)</f>
        <v>240</v>
      </c>
      <c r="L121" s="4" t="str">
        <f>VLOOKUP(J121,'Team Hub'!$B$1:$F$65,5,false)</f>
        <v/>
      </c>
      <c r="M121" s="5" t="s">
        <v>56</v>
      </c>
      <c r="N121" s="5">
        <f>VLOOKUP(M121,'Team Hub'!$B$1:$F$65,4,false)</f>
        <v>260</v>
      </c>
      <c r="O121" s="5" t="str">
        <f>VLOOKUP(M121,'Team Hub'!$B$1:$F$65,5,false)</f>
        <v/>
      </c>
      <c r="P121" s="5" t="s">
        <v>132</v>
      </c>
      <c r="Q121" s="5">
        <f>VLOOKUP(P121,'Team Hub'!$B$1:$F$65,4,false)</f>
        <v>0</v>
      </c>
      <c r="R121" s="5" t="str">
        <f>VLOOKUP(P121,'Team Hub'!$B$1:$F$65,5,false)</f>
        <v/>
      </c>
      <c r="S121" s="5" t="s">
        <v>92</v>
      </c>
      <c r="T121" s="5">
        <f>VLOOKUP(S121,'Team Hub'!$B$1:$F$65,4,false)</f>
        <v>150</v>
      </c>
      <c r="U121" s="5" t="str">
        <f>VLOOKUP(S121,'Team Hub'!$B$1:$F$65,5,false)</f>
        <v/>
      </c>
      <c r="V121" s="5" t="s">
        <v>75</v>
      </c>
      <c r="W121" s="5">
        <f>VLOOKUP(V121,'Team Hub'!$B$1:$F$65,4,false)</f>
        <v>0</v>
      </c>
      <c r="X121" s="5" t="str">
        <f>VLOOKUP(V121,'Team Hub'!$B$1:$F$65,5,false)</f>
        <v/>
      </c>
      <c r="Y121" s="5" t="s">
        <v>76</v>
      </c>
      <c r="Z121" s="5">
        <f>VLOOKUP(Y121,'Team Hub'!$B$1:$F$65,4,false)</f>
        <v>170</v>
      </c>
      <c r="AA121" s="4" t="str">
        <f>VLOOKUP(Y121,'Team Hub'!$B$1:$F$65,5,false)</f>
        <v/>
      </c>
      <c r="AB121" s="5" t="s">
        <v>61</v>
      </c>
      <c r="AC121" s="5">
        <f>VLOOKUP(AB121,'Team Hub'!$B$1:$F$65,4,false)</f>
        <v>180</v>
      </c>
      <c r="AD121" s="4" t="str">
        <f>VLOOKUP(AB121,'Team Hub'!$B$1:$F$65,5,false)</f>
        <v/>
      </c>
      <c r="AE121" s="5" t="s">
        <v>154</v>
      </c>
      <c r="AF121" s="5">
        <f>VLOOKUP(AE121,'Team Hub'!$B$1:$F$65,4,false)</f>
        <v>0</v>
      </c>
      <c r="AG121" s="4" t="str">
        <f>VLOOKUP(AE121,'Team Hub'!$B$1:$F$65,5,false)</f>
        <v/>
      </c>
      <c r="AH121" s="5" t="s">
        <v>116</v>
      </c>
      <c r="AI121" s="5">
        <f>VLOOKUP(AH121,'Team Hub'!$B$1:$F$65,4,false)</f>
        <v>0</v>
      </c>
      <c r="AJ121" s="4" t="str">
        <f>VLOOKUP(AH121,'Team Hub'!$B$1:$F$65,5,false)</f>
        <v/>
      </c>
      <c r="AK121" s="5" t="s">
        <v>64</v>
      </c>
      <c r="AL121" s="5">
        <f>VLOOKUP(AK121,'Team Hub'!$B$1:$F$65,4,false)</f>
        <v>210</v>
      </c>
      <c r="AM121" s="4" t="str">
        <f>VLOOKUP(AK121,'Team Hub'!$B$1:$F$65,5,false)</f>
        <v/>
      </c>
      <c r="AN121" s="5" t="s">
        <v>88</v>
      </c>
      <c r="AO121" s="5">
        <f>VLOOKUP(AN121,'Team Hub'!$B$1:$F$65,4,false)</f>
        <v>0</v>
      </c>
      <c r="AP121" s="4" t="str">
        <f>VLOOKUP(AN121,'Team Hub'!$B$1:$F$65,5,false)</f>
        <v/>
      </c>
      <c r="AQ121" s="5" t="s">
        <v>66</v>
      </c>
      <c r="AR121" s="5">
        <f>VLOOKUP(AQ121,'Team Hub'!$B$1:$F$65,4,false)</f>
        <v>0</v>
      </c>
      <c r="AS121" s="4" t="str">
        <f>VLOOKUP(AQ121,'Team Hub'!$B$1:$F$65,5,false)</f>
        <v/>
      </c>
      <c r="AT121" s="5" t="s">
        <v>67</v>
      </c>
      <c r="AU121" s="5">
        <f>VLOOKUP(AT121,'Team Hub'!$B$1:$F$65,4,false)</f>
        <v>0</v>
      </c>
      <c r="AV121" s="4" t="str">
        <f>VLOOKUP(AT121,'Team Hub'!$B$1:$F$65,5,false)</f>
        <v/>
      </c>
      <c r="AW121" s="5" t="s">
        <v>68</v>
      </c>
      <c r="AX121" s="5">
        <f>VLOOKUP(AW121,'Team Hub'!$B$1:$F$65,4,false)</f>
        <v>0</v>
      </c>
      <c r="AY121" s="4" t="str">
        <f>VLOOKUP(AW121,'Team Hub'!$B$1:$F$65,5,false)</f>
        <v/>
      </c>
      <c r="AZ121" s="4" t="s">
        <v>69</v>
      </c>
    </row>
    <row r="122" ht="22.5" customHeight="1">
      <c r="A122" s="4" t="s">
        <v>235</v>
      </c>
      <c r="B122" s="2">
        <f t="shared" ref="B122:C122" si="121">sum(E122+H122+K122+N122+Q122+T122+W122+Z122+AC122+AF122+AI122+AL122+AO122+AR122+AU122+AX122)</f>
        <v>1720</v>
      </c>
      <c r="C122" s="2">
        <f t="shared" si="121"/>
        <v>0</v>
      </c>
      <c r="D122" s="5" t="s">
        <v>53</v>
      </c>
      <c r="E122" s="5">
        <f>VLOOKUP(D122,'Team Hub'!$B$1:$F$65,4,false)</f>
        <v>400</v>
      </c>
      <c r="F122" s="4" t="str">
        <f>VLOOKUP(D122,'Team Hub'!$B$1:$F$65,5,false)</f>
        <v/>
      </c>
      <c r="G122" s="5" t="s">
        <v>109</v>
      </c>
      <c r="H122" s="5">
        <f>VLOOKUP(G122,'Team Hub'!$B$1:$F$65,4,false)</f>
        <v>110</v>
      </c>
      <c r="I122" s="4" t="str">
        <f>VLOOKUP(G122,'Team Hub'!$B$1:$F$65,5,false)</f>
        <v/>
      </c>
      <c r="J122" s="5" t="s">
        <v>73</v>
      </c>
      <c r="K122" s="5">
        <f>VLOOKUP(J122,'Team Hub'!$B$1:$F$65,4,false)</f>
        <v>240</v>
      </c>
      <c r="L122" s="4" t="str">
        <f>VLOOKUP(J122,'Team Hub'!$B$1:$F$65,5,false)</f>
        <v/>
      </c>
      <c r="M122" s="5" t="s">
        <v>97</v>
      </c>
      <c r="N122" s="5">
        <f>VLOOKUP(M122,'Team Hub'!$B$1:$F$65,4,false)</f>
        <v>260</v>
      </c>
      <c r="O122" s="5" t="str">
        <f>VLOOKUP(M122,'Team Hub'!$B$1:$F$65,5,false)</f>
        <v/>
      </c>
      <c r="P122" s="5" t="s">
        <v>132</v>
      </c>
      <c r="Q122" s="5">
        <f>VLOOKUP(P122,'Team Hub'!$B$1:$F$65,4,false)</f>
        <v>0</v>
      </c>
      <c r="R122" s="5" t="str">
        <f>VLOOKUP(P122,'Team Hub'!$B$1:$F$65,5,false)</f>
        <v/>
      </c>
      <c r="S122" s="5" t="s">
        <v>92</v>
      </c>
      <c r="T122" s="5">
        <f>VLOOKUP(S122,'Team Hub'!$B$1:$F$65,4,false)</f>
        <v>150</v>
      </c>
      <c r="U122" s="5" t="str">
        <f>VLOOKUP(S122,'Team Hub'!$B$1:$F$65,5,false)</f>
        <v/>
      </c>
      <c r="V122" s="5" t="s">
        <v>75</v>
      </c>
      <c r="W122" s="5">
        <f>VLOOKUP(V122,'Team Hub'!$B$1:$F$65,4,false)</f>
        <v>0</v>
      </c>
      <c r="X122" s="5" t="str">
        <f>VLOOKUP(V122,'Team Hub'!$B$1:$F$65,5,false)</f>
        <v/>
      </c>
      <c r="Y122" s="5" t="s">
        <v>188</v>
      </c>
      <c r="Z122" s="5">
        <f>VLOOKUP(Y122,'Team Hub'!$B$1:$F$65,4,false)</f>
        <v>0</v>
      </c>
      <c r="AA122" s="4" t="str">
        <f>VLOOKUP(Y122,'Team Hub'!$B$1:$F$65,5,false)</f>
        <v/>
      </c>
      <c r="AB122" s="5" t="s">
        <v>61</v>
      </c>
      <c r="AC122" s="5">
        <f>VLOOKUP(AB122,'Team Hub'!$B$1:$F$65,4,false)</f>
        <v>180</v>
      </c>
      <c r="AD122" s="4" t="str">
        <f>VLOOKUP(AB122,'Team Hub'!$B$1:$F$65,5,false)</f>
        <v/>
      </c>
      <c r="AE122" s="5" t="s">
        <v>62</v>
      </c>
      <c r="AF122" s="5">
        <f>VLOOKUP(AE122,'Team Hub'!$B$1:$F$65,4,false)</f>
        <v>380</v>
      </c>
      <c r="AG122" s="4" t="str">
        <f>VLOOKUP(AE122,'Team Hub'!$B$1:$F$65,5,false)</f>
        <v/>
      </c>
      <c r="AH122" s="5" t="s">
        <v>98</v>
      </c>
      <c r="AI122" s="5">
        <f>VLOOKUP(AH122,'Team Hub'!$B$1:$F$65,4,false)</f>
        <v>0</v>
      </c>
      <c r="AJ122" s="4" t="str">
        <f>VLOOKUP(AH122,'Team Hub'!$B$1:$F$65,5,false)</f>
        <v/>
      </c>
      <c r="AK122" s="5" t="s">
        <v>107</v>
      </c>
      <c r="AL122" s="5">
        <f>VLOOKUP(AK122,'Team Hub'!$B$1:$F$65,4,false)</f>
        <v>0</v>
      </c>
      <c r="AM122" s="4" t="str">
        <f>VLOOKUP(AK122,'Team Hub'!$B$1:$F$65,5,false)</f>
        <v/>
      </c>
      <c r="AN122" s="5" t="s">
        <v>77</v>
      </c>
      <c r="AO122" s="5">
        <f>VLOOKUP(AN122,'Team Hub'!$B$1:$F$65,4,false)</f>
        <v>0</v>
      </c>
      <c r="AP122" s="4" t="str">
        <f>VLOOKUP(AN122,'Team Hub'!$B$1:$F$65,5,false)</f>
        <v/>
      </c>
      <c r="AQ122" s="5" t="s">
        <v>89</v>
      </c>
      <c r="AR122" s="5">
        <f>VLOOKUP(AQ122,'Team Hub'!$B$1:$F$65,4,false)</f>
        <v>0</v>
      </c>
      <c r="AS122" s="4" t="str">
        <f>VLOOKUP(AQ122,'Team Hub'!$B$1:$F$65,5,false)</f>
        <v/>
      </c>
      <c r="AT122" s="5" t="s">
        <v>129</v>
      </c>
      <c r="AU122" s="5">
        <f>VLOOKUP(AT122,'Team Hub'!$B$1:$F$65,4,false)</f>
        <v>0</v>
      </c>
      <c r="AV122" s="4" t="str">
        <f>VLOOKUP(AT122,'Team Hub'!$B$1:$F$65,5,false)</f>
        <v/>
      </c>
      <c r="AW122" s="5" t="s">
        <v>103</v>
      </c>
      <c r="AX122" s="5">
        <f>VLOOKUP(AW122,'Team Hub'!$B$1:$F$65,4,false)</f>
        <v>0</v>
      </c>
      <c r="AY122" s="4" t="str">
        <f>VLOOKUP(AW122,'Team Hub'!$B$1:$F$65,5,false)</f>
        <v/>
      </c>
      <c r="AZ122" s="4" t="s">
        <v>69</v>
      </c>
    </row>
    <row r="123" ht="22.5" customHeight="1">
      <c r="A123" s="4" t="s">
        <v>236</v>
      </c>
      <c r="B123" s="2">
        <f t="shared" ref="B123:C123" si="122">sum(E123+H123+K123+N123+Q123+T123+W123+Z123+AC123+AF123+AI123+AL123+AO123+AR123+AU123+AX123)</f>
        <v>1700</v>
      </c>
      <c r="C123" s="2">
        <f t="shared" si="122"/>
        <v>0</v>
      </c>
      <c r="D123" s="5" t="s">
        <v>91</v>
      </c>
      <c r="E123" s="5">
        <f>VLOOKUP(D123,'Team Hub'!$B$1:$F$65,4,false)</f>
        <v>400</v>
      </c>
      <c r="F123" s="4" t="str">
        <f>VLOOKUP(D123,'Team Hub'!$B$1:$F$65,5,false)</f>
        <v/>
      </c>
      <c r="G123" s="5" t="s">
        <v>109</v>
      </c>
      <c r="H123" s="5">
        <f>VLOOKUP(G123,'Team Hub'!$B$1:$F$65,4,false)</f>
        <v>110</v>
      </c>
      <c r="I123" s="4" t="str">
        <f>VLOOKUP(G123,'Team Hub'!$B$1:$F$65,5,false)</f>
        <v/>
      </c>
      <c r="J123" s="5" t="s">
        <v>101</v>
      </c>
      <c r="K123" s="5">
        <f>VLOOKUP(J123,'Team Hub'!$B$1:$F$65,4,false)</f>
        <v>120</v>
      </c>
      <c r="L123" s="4" t="str">
        <f>VLOOKUP(J123,'Team Hub'!$B$1:$F$65,5,false)</f>
        <v/>
      </c>
      <c r="M123" s="5" t="s">
        <v>56</v>
      </c>
      <c r="N123" s="5">
        <f>VLOOKUP(M123,'Team Hub'!$B$1:$F$65,4,false)</f>
        <v>260</v>
      </c>
      <c r="O123" s="5" t="str">
        <f>VLOOKUP(M123,'Team Hub'!$B$1:$F$65,5,false)</f>
        <v/>
      </c>
      <c r="P123" s="5" t="s">
        <v>132</v>
      </c>
      <c r="Q123" s="5">
        <f>VLOOKUP(P123,'Team Hub'!$B$1:$F$65,4,false)</f>
        <v>0</v>
      </c>
      <c r="R123" s="5" t="str">
        <f>VLOOKUP(P123,'Team Hub'!$B$1:$F$65,5,false)</f>
        <v/>
      </c>
      <c r="S123" s="5" t="s">
        <v>58</v>
      </c>
      <c r="T123" s="5">
        <f>VLOOKUP(S123,'Team Hub'!$B$1:$F$65,4,false)</f>
        <v>300</v>
      </c>
      <c r="U123" s="5" t="str">
        <f>VLOOKUP(S123,'Team Hub'!$B$1:$F$65,5,false)</f>
        <v/>
      </c>
      <c r="V123" s="5" t="s">
        <v>93</v>
      </c>
      <c r="W123" s="5">
        <f>VLOOKUP(V123,'Team Hub'!$B$1:$F$65,4,false)</f>
        <v>160</v>
      </c>
      <c r="X123" s="5" t="str">
        <f>VLOOKUP(V123,'Team Hub'!$B$1:$F$65,5,false)</f>
        <v/>
      </c>
      <c r="Y123" s="5" t="s">
        <v>60</v>
      </c>
      <c r="Z123" s="5">
        <f>VLOOKUP(Y123,'Team Hub'!$B$1:$F$65,4,false)</f>
        <v>170</v>
      </c>
      <c r="AA123" s="4" t="str">
        <f>VLOOKUP(Y123,'Team Hub'!$B$1:$F$65,5,false)</f>
        <v/>
      </c>
      <c r="AB123" s="5" t="s">
        <v>94</v>
      </c>
      <c r="AC123" s="5">
        <f>VLOOKUP(AB123,'Team Hub'!$B$1:$F$65,4,false)</f>
        <v>180</v>
      </c>
      <c r="AD123" s="4" t="str">
        <f>VLOOKUP(AB123,'Team Hub'!$B$1:$F$65,5,false)</f>
        <v/>
      </c>
      <c r="AE123" s="5" t="s">
        <v>154</v>
      </c>
      <c r="AF123" s="5">
        <f>VLOOKUP(AE123,'Team Hub'!$B$1:$F$65,4,false)</f>
        <v>0</v>
      </c>
      <c r="AG123" s="4" t="str">
        <f>VLOOKUP(AE123,'Team Hub'!$B$1:$F$65,5,false)</f>
        <v/>
      </c>
      <c r="AH123" s="5" t="s">
        <v>116</v>
      </c>
      <c r="AI123" s="5">
        <f>VLOOKUP(AH123,'Team Hub'!$B$1:$F$65,4,false)</f>
        <v>0</v>
      </c>
      <c r="AJ123" s="4" t="str">
        <f>VLOOKUP(AH123,'Team Hub'!$B$1:$F$65,5,false)</f>
        <v/>
      </c>
      <c r="AK123" s="5" t="s">
        <v>138</v>
      </c>
      <c r="AL123" s="5">
        <f>VLOOKUP(AK123,'Team Hub'!$B$1:$F$65,4,false)</f>
        <v>0</v>
      </c>
      <c r="AM123" s="4" t="str">
        <f>VLOOKUP(AK123,'Team Hub'!$B$1:$F$65,5,false)</f>
        <v/>
      </c>
      <c r="AN123" s="5" t="s">
        <v>88</v>
      </c>
      <c r="AO123" s="5">
        <f>VLOOKUP(AN123,'Team Hub'!$B$1:$F$65,4,false)</f>
        <v>0</v>
      </c>
      <c r="AP123" s="4" t="str">
        <f>VLOOKUP(AN123,'Team Hub'!$B$1:$F$65,5,false)</f>
        <v/>
      </c>
      <c r="AQ123" s="5" t="s">
        <v>66</v>
      </c>
      <c r="AR123" s="5">
        <f>VLOOKUP(AQ123,'Team Hub'!$B$1:$F$65,4,false)</f>
        <v>0</v>
      </c>
      <c r="AS123" s="4" t="str">
        <f>VLOOKUP(AQ123,'Team Hub'!$B$1:$F$65,5,false)</f>
        <v/>
      </c>
      <c r="AT123" s="5" t="s">
        <v>129</v>
      </c>
      <c r="AU123" s="5">
        <f>VLOOKUP(AT123,'Team Hub'!$B$1:$F$65,4,false)</f>
        <v>0</v>
      </c>
      <c r="AV123" s="4" t="str">
        <f>VLOOKUP(AT123,'Team Hub'!$B$1:$F$65,5,false)</f>
        <v/>
      </c>
      <c r="AW123" s="5" t="s">
        <v>68</v>
      </c>
      <c r="AX123" s="5">
        <f>VLOOKUP(AW123,'Team Hub'!$B$1:$F$65,4,false)</f>
        <v>0</v>
      </c>
      <c r="AY123" s="4" t="str">
        <f>VLOOKUP(AW123,'Team Hub'!$B$1:$F$65,5,false)</f>
        <v/>
      </c>
      <c r="AZ123" s="4" t="s">
        <v>69</v>
      </c>
    </row>
    <row r="124" ht="22.5" customHeight="1">
      <c r="A124" s="4" t="s">
        <v>237</v>
      </c>
      <c r="B124" s="2">
        <f t="shared" ref="B124:C124" si="123">sum(E124+H124+K124+N124+Q124+T124+W124+Z124+AC124+AF124+AI124+AL124+AO124+AR124+AU124+AX124)</f>
        <v>1700</v>
      </c>
      <c r="C124" s="2">
        <f t="shared" si="123"/>
        <v>1</v>
      </c>
      <c r="D124" s="4" t="s">
        <v>71</v>
      </c>
      <c r="E124" s="4">
        <f>VLOOKUP(D124,'Team Hub'!$B$1:$F$65,4,false)</f>
        <v>600</v>
      </c>
      <c r="F124" s="4">
        <f>VLOOKUP(D124,'Team Hub'!$B$1:$F$65,5,false)</f>
        <v>1</v>
      </c>
      <c r="G124" s="5" t="s">
        <v>54</v>
      </c>
      <c r="H124" s="5">
        <f>VLOOKUP(G124,'Team Hub'!$B$1:$F$65,4,false)</f>
        <v>330</v>
      </c>
      <c r="I124" s="4" t="str">
        <f>VLOOKUP(G124,'Team Hub'!$B$1:$F$65,5,false)</f>
        <v/>
      </c>
      <c r="J124" s="5" t="s">
        <v>101</v>
      </c>
      <c r="K124" s="5">
        <f>VLOOKUP(J124,'Team Hub'!$B$1:$F$65,4,false)</f>
        <v>120</v>
      </c>
      <c r="L124" s="4" t="str">
        <f>VLOOKUP(J124,'Team Hub'!$B$1:$F$65,5,false)</f>
        <v/>
      </c>
      <c r="M124" s="5" t="s">
        <v>97</v>
      </c>
      <c r="N124" s="5">
        <f>VLOOKUP(M124,'Team Hub'!$B$1:$F$65,4,false)</f>
        <v>260</v>
      </c>
      <c r="O124" s="5" t="str">
        <f>VLOOKUP(M124,'Team Hub'!$B$1:$F$65,5,false)</f>
        <v/>
      </c>
      <c r="P124" s="5" t="s">
        <v>132</v>
      </c>
      <c r="Q124" s="5">
        <f>VLOOKUP(P124,'Team Hub'!$B$1:$F$65,4,false)</f>
        <v>0</v>
      </c>
      <c r="R124" s="5" t="str">
        <f>VLOOKUP(P124,'Team Hub'!$B$1:$F$65,5,false)</f>
        <v/>
      </c>
      <c r="S124" s="5" t="s">
        <v>113</v>
      </c>
      <c r="T124" s="5">
        <f>VLOOKUP(S124,'Team Hub'!$B$1:$F$65,4,false)</f>
        <v>0</v>
      </c>
      <c r="U124" s="5" t="str">
        <f>VLOOKUP(S124,'Team Hub'!$B$1:$F$65,5,false)</f>
        <v/>
      </c>
      <c r="V124" s="5" t="s">
        <v>75</v>
      </c>
      <c r="W124" s="5">
        <f>VLOOKUP(V124,'Team Hub'!$B$1:$F$65,4,false)</f>
        <v>0</v>
      </c>
      <c r="X124" s="5" t="str">
        <f>VLOOKUP(V124,'Team Hub'!$B$1:$F$65,5,false)</f>
        <v/>
      </c>
      <c r="Y124" s="5" t="s">
        <v>126</v>
      </c>
      <c r="Z124" s="5">
        <f>VLOOKUP(Y124,'Team Hub'!$B$1:$F$65,4,false)</f>
        <v>0</v>
      </c>
      <c r="AA124" s="4" t="str">
        <f>VLOOKUP(Y124,'Team Hub'!$B$1:$F$65,5,false)</f>
        <v/>
      </c>
      <c r="AB124" s="5" t="s">
        <v>94</v>
      </c>
      <c r="AC124" s="5">
        <f>VLOOKUP(AB124,'Team Hub'!$B$1:$F$65,4,false)</f>
        <v>180</v>
      </c>
      <c r="AD124" s="4" t="str">
        <f>VLOOKUP(AB124,'Team Hub'!$B$1:$F$65,5,false)</f>
        <v/>
      </c>
      <c r="AE124" s="5" t="s">
        <v>123</v>
      </c>
      <c r="AF124" s="5">
        <f>VLOOKUP(AE124,'Team Hub'!$B$1:$F$65,4,false)</f>
        <v>0</v>
      </c>
      <c r="AG124" s="4" t="str">
        <f>VLOOKUP(AE124,'Team Hub'!$B$1:$F$65,5,false)</f>
        <v/>
      </c>
      <c r="AH124" s="5" t="s">
        <v>98</v>
      </c>
      <c r="AI124" s="5">
        <f>VLOOKUP(AH124,'Team Hub'!$B$1:$F$65,4,false)</f>
        <v>0</v>
      </c>
      <c r="AJ124" s="4" t="str">
        <f>VLOOKUP(AH124,'Team Hub'!$B$1:$F$65,5,false)</f>
        <v/>
      </c>
      <c r="AK124" s="5" t="s">
        <v>64</v>
      </c>
      <c r="AL124" s="5">
        <f>VLOOKUP(AK124,'Team Hub'!$B$1:$F$65,4,false)</f>
        <v>210</v>
      </c>
      <c r="AM124" s="4" t="str">
        <f>VLOOKUP(AK124,'Team Hub'!$B$1:$F$65,5,false)</f>
        <v/>
      </c>
      <c r="AN124" s="5" t="s">
        <v>88</v>
      </c>
      <c r="AO124" s="5">
        <f>VLOOKUP(AN124,'Team Hub'!$B$1:$F$65,4,false)</f>
        <v>0</v>
      </c>
      <c r="AP124" s="4" t="str">
        <f>VLOOKUP(AN124,'Team Hub'!$B$1:$F$65,5,false)</f>
        <v/>
      </c>
      <c r="AQ124" s="5" t="s">
        <v>117</v>
      </c>
      <c r="AR124" s="5">
        <f>VLOOKUP(AQ124,'Team Hub'!$B$1:$F$65,4,false)</f>
        <v>0</v>
      </c>
      <c r="AS124" s="4" t="str">
        <f>VLOOKUP(AQ124,'Team Hub'!$B$1:$F$65,5,false)</f>
        <v/>
      </c>
      <c r="AT124" s="5" t="s">
        <v>105</v>
      </c>
      <c r="AU124" s="5">
        <f>VLOOKUP(AT124,'Team Hub'!$B$1:$F$65,4,false)</f>
        <v>0</v>
      </c>
      <c r="AV124" s="5" t="str">
        <f>VLOOKUP(AT124,'Team Hub'!$B$1:$F$65,5,false)</f>
        <v/>
      </c>
      <c r="AW124" s="5" t="s">
        <v>95</v>
      </c>
      <c r="AX124" s="5">
        <f>VLOOKUP(AW124,'Team Hub'!$B$1:$F$65,4,false)</f>
        <v>0</v>
      </c>
      <c r="AY124" s="4" t="str">
        <f>VLOOKUP(AW124,'Team Hub'!$B$1:$F$65,5,false)</f>
        <v/>
      </c>
      <c r="AZ124" s="4" t="s">
        <v>69</v>
      </c>
    </row>
    <row r="125" ht="22.5" customHeight="1">
      <c r="A125" s="4" t="s">
        <v>238</v>
      </c>
      <c r="B125" s="2">
        <f t="shared" ref="B125:C125" si="124">sum(E125+H125+K125+N125+Q125+T125+W125+Z125+AC125+AF125+AI125+AL125+AO125+AR125+AU125+AX125)</f>
        <v>1690</v>
      </c>
      <c r="C125" s="2">
        <f t="shared" si="124"/>
        <v>1</v>
      </c>
      <c r="D125" s="4" t="s">
        <v>71</v>
      </c>
      <c r="E125" s="4">
        <f>VLOOKUP(D125,'Team Hub'!$B$1:$F$65,4,false)</f>
        <v>600</v>
      </c>
      <c r="F125" s="4">
        <f>VLOOKUP(D125,'Team Hub'!$B$1:$F$65,5,false)</f>
        <v>1</v>
      </c>
      <c r="G125" s="5" t="s">
        <v>72</v>
      </c>
      <c r="H125" s="5">
        <f>VLOOKUP(G125,'Team Hub'!$B$1:$F$65,4,false)</f>
        <v>330</v>
      </c>
      <c r="I125" s="5" t="str">
        <f>VLOOKUP(G125,'Team Hub'!$B$1:$F$65,5,false)</f>
        <v/>
      </c>
      <c r="J125" s="5" t="s">
        <v>101</v>
      </c>
      <c r="K125" s="5">
        <f>VLOOKUP(J125,'Team Hub'!$B$1:$F$65,4,false)</f>
        <v>120</v>
      </c>
      <c r="L125" s="4" t="str">
        <f>VLOOKUP(J125,'Team Hub'!$B$1:$F$65,5,false)</f>
        <v/>
      </c>
      <c r="M125" s="5" t="s">
        <v>142</v>
      </c>
      <c r="N125" s="5">
        <f>VLOOKUP(M125,'Team Hub'!$B$1:$F$65,4,false)</f>
        <v>130</v>
      </c>
      <c r="O125" s="5" t="str">
        <f>VLOOKUP(M125,'Team Hub'!$B$1:$F$65,5,false)</f>
        <v/>
      </c>
      <c r="P125" s="5" t="s">
        <v>132</v>
      </c>
      <c r="Q125" s="5">
        <f>VLOOKUP(P125,'Team Hub'!$B$1:$F$65,4,false)</f>
        <v>0</v>
      </c>
      <c r="R125" s="5" t="str">
        <f>VLOOKUP(P125,'Team Hub'!$B$1:$F$65,5,false)</f>
        <v/>
      </c>
      <c r="S125" s="5" t="s">
        <v>113</v>
      </c>
      <c r="T125" s="5">
        <f>VLOOKUP(S125,'Team Hub'!$B$1:$F$65,4,false)</f>
        <v>0</v>
      </c>
      <c r="U125" s="5" t="str">
        <f>VLOOKUP(S125,'Team Hub'!$B$1:$F$65,5,false)</f>
        <v/>
      </c>
      <c r="V125" s="5" t="s">
        <v>59</v>
      </c>
      <c r="W125" s="5">
        <f>VLOOKUP(V125,'Team Hub'!$B$1:$F$65,4,false)</f>
        <v>160</v>
      </c>
      <c r="X125" s="5" t="str">
        <f>VLOOKUP(V125,'Team Hub'!$B$1:$F$65,5,false)</f>
        <v/>
      </c>
      <c r="Y125" s="5" t="s">
        <v>76</v>
      </c>
      <c r="Z125" s="5">
        <f>VLOOKUP(Y125,'Team Hub'!$B$1:$F$65,4,false)</f>
        <v>170</v>
      </c>
      <c r="AA125" s="4" t="str">
        <f>VLOOKUP(Y125,'Team Hub'!$B$1:$F$65,5,false)</f>
        <v/>
      </c>
      <c r="AB125" s="5" t="s">
        <v>61</v>
      </c>
      <c r="AC125" s="5">
        <f>VLOOKUP(AB125,'Team Hub'!$B$1:$F$65,4,false)</f>
        <v>180</v>
      </c>
      <c r="AD125" s="4" t="str">
        <f>VLOOKUP(AB125,'Team Hub'!$B$1:$F$65,5,false)</f>
        <v/>
      </c>
      <c r="AE125" s="5" t="s">
        <v>123</v>
      </c>
      <c r="AF125" s="5">
        <f>VLOOKUP(AE125,'Team Hub'!$B$1:$F$65,4,false)</f>
        <v>0</v>
      </c>
      <c r="AG125" s="4" t="str">
        <f>VLOOKUP(AE125,'Team Hub'!$B$1:$F$65,5,false)</f>
        <v/>
      </c>
      <c r="AH125" s="5" t="s">
        <v>98</v>
      </c>
      <c r="AI125" s="5">
        <f>VLOOKUP(AH125,'Team Hub'!$B$1:$F$65,4,false)</f>
        <v>0</v>
      </c>
      <c r="AJ125" s="4" t="str">
        <f>VLOOKUP(AH125,'Team Hub'!$B$1:$F$65,5,false)</f>
        <v/>
      </c>
      <c r="AK125" s="5" t="s">
        <v>138</v>
      </c>
      <c r="AL125" s="5">
        <f>VLOOKUP(AK125,'Team Hub'!$B$1:$F$65,4,false)</f>
        <v>0</v>
      </c>
      <c r="AM125" s="4" t="str">
        <f>VLOOKUP(AK125,'Team Hub'!$B$1:$F$65,5,false)</f>
        <v/>
      </c>
      <c r="AN125" s="5" t="s">
        <v>65</v>
      </c>
      <c r="AO125" s="5">
        <f>VLOOKUP(AN125,'Team Hub'!$B$1:$F$65,4,false)</f>
        <v>0</v>
      </c>
      <c r="AP125" s="4" t="str">
        <f>VLOOKUP(AN125,'Team Hub'!$B$1:$F$65,5,false)</f>
        <v/>
      </c>
      <c r="AQ125" s="5" t="s">
        <v>66</v>
      </c>
      <c r="AR125" s="5">
        <f>VLOOKUP(AQ125,'Team Hub'!$B$1:$F$65,4,false)</f>
        <v>0</v>
      </c>
      <c r="AS125" s="4" t="str">
        <f>VLOOKUP(AQ125,'Team Hub'!$B$1:$F$65,5,false)</f>
        <v/>
      </c>
      <c r="AT125" s="5" t="s">
        <v>79</v>
      </c>
      <c r="AU125" s="5">
        <f>VLOOKUP(AT125,'Team Hub'!$B$1:$F$65,4,false)</f>
        <v>0</v>
      </c>
      <c r="AV125" s="4" t="str">
        <f>VLOOKUP(AT125,'Team Hub'!$B$1:$F$65,5,false)</f>
        <v/>
      </c>
      <c r="AW125" s="5" t="s">
        <v>103</v>
      </c>
      <c r="AX125" s="5">
        <f>VLOOKUP(AW125,'Team Hub'!$B$1:$F$65,4,false)</f>
        <v>0</v>
      </c>
      <c r="AY125" s="4" t="str">
        <f>VLOOKUP(AW125,'Team Hub'!$B$1:$F$65,5,false)</f>
        <v/>
      </c>
      <c r="AZ125" s="4" t="s">
        <v>69</v>
      </c>
    </row>
    <row r="126" ht="22.5" customHeight="1">
      <c r="A126" s="4" t="s">
        <v>239</v>
      </c>
      <c r="B126" s="2">
        <f t="shared" ref="B126:C126" si="125">sum(E126+H126+K126+N126+Q126+T126+W126+Z126+AC126+AF126+AI126+AL126+AO126+AR126+AU126+AX126)</f>
        <v>1660</v>
      </c>
      <c r="C126" s="2">
        <f t="shared" si="125"/>
        <v>0</v>
      </c>
      <c r="D126" s="5" t="s">
        <v>125</v>
      </c>
      <c r="E126" s="5">
        <f>VLOOKUP(D126,'Team Hub'!$B$1:$F$65,4,false)</f>
        <v>500</v>
      </c>
      <c r="F126" s="4" t="str">
        <f>VLOOKUP(D126,'Team Hub'!$B$1:$F$65,5,false)</f>
        <v/>
      </c>
      <c r="G126" s="5" t="s">
        <v>109</v>
      </c>
      <c r="H126" s="5">
        <f>VLOOKUP(G126,'Team Hub'!$B$1:$F$65,4,false)</f>
        <v>110</v>
      </c>
      <c r="I126" s="4" t="str">
        <f>VLOOKUP(G126,'Team Hub'!$B$1:$F$65,5,false)</f>
        <v/>
      </c>
      <c r="J126" s="5" t="s">
        <v>101</v>
      </c>
      <c r="K126" s="5">
        <f>VLOOKUP(J126,'Team Hub'!$B$1:$F$65,4,false)</f>
        <v>120</v>
      </c>
      <c r="L126" s="4" t="str">
        <f>VLOOKUP(J126,'Team Hub'!$B$1:$F$65,5,false)</f>
        <v/>
      </c>
      <c r="M126" s="5" t="s">
        <v>56</v>
      </c>
      <c r="N126" s="5">
        <f>VLOOKUP(M126,'Team Hub'!$B$1:$F$65,4,false)</f>
        <v>260</v>
      </c>
      <c r="O126" s="5" t="str">
        <f>VLOOKUP(M126,'Team Hub'!$B$1:$F$65,5,false)</f>
        <v/>
      </c>
      <c r="P126" s="5" t="s">
        <v>57</v>
      </c>
      <c r="Q126" s="5">
        <f>VLOOKUP(P126,'Team Hub'!$B$1:$F$65,4,false)</f>
        <v>280</v>
      </c>
      <c r="R126" s="5" t="str">
        <f>VLOOKUP(P126,'Team Hub'!$B$1:$F$65,5,false)</f>
        <v/>
      </c>
      <c r="S126" s="5" t="s">
        <v>113</v>
      </c>
      <c r="T126" s="5">
        <f>VLOOKUP(S126,'Team Hub'!$B$1:$F$65,4,false)</f>
        <v>0</v>
      </c>
      <c r="U126" s="5" t="str">
        <f>VLOOKUP(S126,'Team Hub'!$B$1:$F$65,5,false)</f>
        <v/>
      </c>
      <c r="V126" s="5" t="s">
        <v>83</v>
      </c>
      <c r="W126" s="5">
        <f>VLOOKUP(V126,'Team Hub'!$B$1:$F$65,4,false)</f>
        <v>0</v>
      </c>
      <c r="X126" s="5" t="str">
        <f>VLOOKUP(V126,'Team Hub'!$B$1:$F$65,5,false)</f>
        <v/>
      </c>
      <c r="Y126" s="5" t="s">
        <v>126</v>
      </c>
      <c r="Z126" s="5">
        <f>VLOOKUP(Y126,'Team Hub'!$B$1:$F$65,4,false)</f>
        <v>0</v>
      </c>
      <c r="AA126" s="4" t="str">
        <f>VLOOKUP(Y126,'Team Hub'!$B$1:$F$65,5,false)</f>
        <v/>
      </c>
      <c r="AB126" s="5" t="s">
        <v>94</v>
      </c>
      <c r="AC126" s="5">
        <f>VLOOKUP(AB126,'Team Hub'!$B$1:$F$65,4,false)</f>
        <v>180</v>
      </c>
      <c r="AD126" s="4" t="str">
        <f>VLOOKUP(AB126,'Team Hub'!$B$1:$F$65,5,false)</f>
        <v/>
      </c>
      <c r="AE126" s="5" t="s">
        <v>123</v>
      </c>
      <c r="AF126" s="5">
        <f>VLOOKUP(AE126,'Team Hub'!$B$1:$F$65,4,false)</f>
        <v>0</v>
      </c>
      <c r="AG126" s="4" t="str">
        <f>VLOOKUP(AE126,'Team Hub'!$B$1:$F$65,5,false)</f>
        <v/>
      </c>
      <c r="AH126" s="5" t="s">
        <v>116</v>
      </c>
      <c r="AI126" s="5">
        <f>VLOOKUP(AH126,'Team Hub'!$B$1:$F$65,4,false)</f>
        <v>0</v>
      </c>
      <c r="AJ126" s="4" t="str">
        <f>VLOOKUP(AH126,'Team Hub'!$B$1:$F$65,5,false)</f>
        <v/>
      </c>
      <c r="AK126" s="5" t="s">
        <v>64</v>
      </c>
      <c r="AL126" s="5">
        <f>VLOOKUP(AK126,'Team Hub'!$B$1:$F$65,4,false)</f>
        <v>210</v>
      </c>
      <c r="AM126" s="4" t="str">
        <f>VLOOKUP(AK126,'Team Hub'!$B$1:$F$65,5,false)</f>
        <v/>
      </c>
      <c r="AN126" s="5" t="s">
        <v>77</v>
      </c>
      <c r="AO126" s="5">
        <f>VLOOKUP(AN126,'Team Hub'!$B$1:$F$65,4,false)</f>
        <v>0</v>
      </c>
      <c r="AP126" s="4" t="str">
        <f>VLOOKUP(AN126,'Team Hub'!$B$1:$F$65,5,false)</f>
        <v/>
      </c>
      <c r="AQ126" s="5" t="s">
        <v>117</v>
      </c>
      <c r="AR126" s="5">
        <f>VLOOKUP(AQ126,'Team Hub'!$B$1:$F$65,4,false)</f>
        <v>0</v>
      </c>
      <c r="AS126" s="4" t="str">
        <f>VLOOKUP(AQ126,'Team Hub'!$B$1:$F$65,5,false)</f>
        <v/>
      </c>
      <c r="AT126" s="5" t="s">
        <v>129</v>
      </c>
      <c r="AU126" s="5">
        <f>VLOOKUP(AT126,'Team Hub'!$B$1:$F$65,4,false)</f>
        <v>0</v>
      </c>
      <c r="AV126" s="4" t="str">
        <f>VLOOKUP(AT126,'Team Hub'!$B$1:$F$65,5,false)</f>
        <v/>
      </c>
      <c r="AW126" s="5" t="s">
        <v>103</v>
      </c>
      <c r="AX126" s="5">
        <f>VLOOKUP(AW126,'Team Hub'!$B$1:$F$65,4,false)</f>
        <v>0</v>
      </c>
      <c r="AY126" s="4" t="str">
        <f>VLOOKUP(AW126,'Team Hub'!$B$1:$F$65,5,false)</f>
        <v/>
      </c>
      <c r="AZ126" s="4" t="s">
        <v>69</v>
      </c>
    </row>
    <row r="127" ht="22.5" customHeight="1">
      <c r="A127" s="4" t="s">
        <v>240</v>
      </c>
      <c r="B127" s="2">
        <f t="shared" ref="B127:C127" si="126">sum(E127+H127+K127+N127+Q127+T127+W127+Z127+AC127+AF127+AI127+AL127+AO127+AR127+AU127+AX127)</f>
        <v>1650</v>
      </c>
      <c r="C127" s="2">
        <f t="shared" si="126"/>
        <v>0</v>
      </c>
      <c r="D127" s="5" t="s">
        <v>125</v>
      </c>
      <c r="E127" s="5">
        <f>VLOOKUP(D127,'Team Hub'!$B$1:$F$65,4,false)</f>
        <v>500</v>
      </c>
      <c r="F127" s="4" t="str">
        <f>VLOOKUP(D127,'Team Hub'!$B$1:$F$65,5,false)</f>
        <v/>
      </c>
      <c r="G127" s="5" t="s">
        <v>109</v>
      </c>
      <c r="H127" s="5">
        <f>VLOOKUP(G127,'Team Hub'!$B$1:$F$65,4,false)</f>
        <v>110</v>
      </c>
      <c r="I127" s="4" t="str">
        <f>VLOOKUP(G127,'Team Hub'!$B$1:$F$65,5,false)</f>
        <v/>
      </c>
      <c r="J127" s="5" t="s">
        <v>101</v>
      </c>
      <c r="K127" s="5">
        <f>VLOOKUP(J127,'Team Hub'!$B$1:$F$65,4,false)</f>
        <v>120</v>
      </c>
      <c r="L127" s="4" t="str">
        <f>VLOOKUP(J127,'Team Hub'!$B$1:$F$65,5,false)</f>
        <v/>
      </c>
      <c r="M127" s="5" t="s">
        <v>56</v>
      </c>
      <c r="N127" s="5">
        <f>VLOOKUP(M127,'Team Hub'!$B$1:$F$65,4,false)</f>
        <v>260</v>
      </c>
      <c r="O127" s="5" t="str">
        <f>VLOOKUP(M127,'Team Hub'!$B$1:$F$65,5,false)</f>
        <v/>
      </c>
      <c r="P127" s="5" t="s">
        <v>57</v>
      </c>
      <c r="Q127" s="5">
        <f>VLOOKUP(P127,'Team Hub'!$B$1:$F$65,4,false)</f>
        <v>280</v>
      </c>
      <c r="R127" s="5" t="str">
        <f>VLOOKUP(P127,'Team Hub'!$B$1:$F$65,5,false)</f>
        <v/>
      </c>
      <c r="S127" s="5" t="s">
        <v>113</v>
      </c>
      <c r="T127" s="5">
        <f>VLOOKUP(S127,'Team Hub'!$B$1:$F$65,4,false)</f>
        <v>0</v>
      </c>
      <c r="U127" s="5" t="str">
        <f>VLOOKUP(S127,'Team Hub'!$B$1:$F$65,5,false)</f>
        <v/>
      </c>
      <c r="V127" s="5" t="s">
        <v>75</v>
      </c>
      <c r="W127" s="5">
        <f>VLOOKUP(V127,'Team Hub'!$B$1:$F$65,4,false)</f>
        <v>0</v>
      </c>
      <c r="X127" s="5" t="str">
        <f>VLOOKUP(V127,'Team Hub'!$B$1:$F$65,5,false)</f>
        <v/>
      </c>
      <c r="Y127" s="5" t="s">
        <v>76</v>
      </c>
      <c r="Z127" s="5">
        <f>VLOOKUP(Y127,'Team Hub'!$B$1:$F$65,4,false)</f>
        <v>170</v>
      </c>
      <c r="AA127" s="4" t="str">
        <f>VLOOKUP(Y127,'Team Hub'!$B$1:$F$65,5,false)</f>
        <v/>
      </c>
      <c r="AB127" s="5" t="s">
        <v>84</v>
      </c>
      <c r="AC127" s="5">
        <f>VLOOKUP(AB127,'Team Hub'!$B$1:$F$65,4,false)</f>
        <v>0</v>
      </c>
      <c r="AD127" s="4" t="str">
        <f>VLOOKUP(AB127,'Team Hub'!$B$1:$F$65,5,false)</f>
        <v/>
      </c>
      <c r="AE127" s="5" t="s">
        <v>154</v>
      </c>
      <c r="AF127" s="5">
        <f>VLOOKUP(AE127,'Team Hub'!$B$1:$F$65,4,false)</f>
        <v>0</v>
      </c>
      <c r="AG127" s="4" t="str">
        <f>VLOOKUP(AE127,'Team Hub'!$B$1:$F$65,5,false)</f>
        <v/>
      </c>
      <c r="AH127" s="5" t="s">
        <v>116</v>
      </c>
      <c r="AI127" s="5">
        <f>VLOOKUP(AH127,'Team Hub'!$B$1:$F$65,4,false)</f>
        <v>0</v>
      </c>
      <c r="AJ127" s="4" t="str">
        <f>VLOOKUP(AH127,'Team Hub'!$B$1:$F$65,5,false)</f>
        <v/>
      </c>
      <c r="AK127" s="5" t="s">
        <v>87</v>
      </c>
      <c r="AL127" s="5">
        <f>VLOOKUP(AK127,'Team Hub'!$B$1:$F$65,4,false)</f>
        <v>210</v>
      </c>
      <c r="AM127" s="4" t="str">
        <f>VLOOKUP(AK127,'Team Hub'!$B$1:$F$65,5,false)</f>
        <v/>
      </c>
      <c r="AN127" s="5" t="s">
        <v>88</v>
      </c>
      <c r="AO127" s="5">
        <f>VLOOKUP(AN127,'Team Hub'!$B$1:$F$65,4,false)</f>
        <v>0</v>
      </c>
      <c r="AP127" s="4" t="str">
        <f>VLOOKUP(AN127,'Team Hub'!$B$1:$F$65,5,false)</f>
        <v/>
      </c>
      <c r="AQ127" s="5" t="s">
        <v>66</v>
      </c>
      <c r="AR127" s="5">
        <f>VLOOKUP(AQ127,'Team Hub'!$B$1:$F$65,4,false)</f>
        <v>0</v>
      </c>
      <c r="AS127" s="4" t="str">
        <f>VLOOKUP(AQ127,'Team Hub'!$B$1:$F$65,5,false)</f>
        <v/>
      </c>
      <c r="AT127" s="5" t="s">
        <v>129</v>
      </c>
      <c r="AU127" s="5">
        <f>VLOOKUP(AT127,'Team Hub'!$B$1:$F$65,4,false)</f>
        <v>0</v>
      </c>
      <c r="AV127" s="4" t="str">
        <f>VLOOKUP(AT127,'Team Hub'!$B$1:$F$65,5,false)</f>
        <v/>
      </c>
      <c r="AW127" s="5" t="s">
        <v>68</v>
      </c>
      <c r="AX127" s="5">
        <f>VLOOKUP(AW127,'Team Hub'!$B$1:$F$65,4,false)</f>
        <v>0</v>
      </c>
      <c r="AY127" s="4" t="str">
        <f>VLOOKUP(AW127,'Team Hub'!$B$1:$F$65,5,false)</f>
        <v/>
      </c>
      <c r="AZ127" s="4" t="s">
        <v>69</v>
      </c>
    </row>
    <row r="128" ht="22.5" customHeight="1">
      <c r="A128" s="4" t="s">
        <v>241</v>
      </c>
      <c r="B128" s="2">
        <f t="shared" ref="B128:C128" si="127">sum(E128+H128+K128+N128+Q128+T128+W128+Z128+AC128+AF128+AI128+AL128+AO128+AR128+AU128+AX128)</f>
        <v>1620</v>
      </c>
      <c r="C128" s="2">
        <f t="shared" si="127"/>
        <v>0</v>
      </c>
      <c r="D128" s="5" t="s">
        <v>91</v>
      </c>
      <c r="E128" s="5">
        <f>VLOOKUP(D128,'Team Hub'!$B$1:$F$65,4,false)</f>
        <v>400</v>
      </c>
      <c r="F128" s="4" t="str">
        <f>VLOOKUP(D128,'Team Hub'!$B$1:$F$65,5,false)</f>
        <v/>
      </c>
      <c r="G128" s="5" t="s">
        <v>54</v>
      </c>
      <c r="H128" s="5">
        <f>VLOOKUP(G128,'Team Hub'!$B$1:$F$65,4,false)</f>
        <v>330</v>
      </c>
      <c r="I128" s="4" t="str">
        <f>VLOOKUP(G128,'Team Hub'!$B$1:$F$65,5,false)</f>
        <v/>
      </c>
      <c r="J128" s="5" t="s">
        <v>101</v>
      </c>
      <c r="K128" s="5">
        <f>VLOOKUP(J128,'Team Hub'!$B$1:$F$65,4,false)</f>
        <v>120</v>
      </c>
      <c r="L128" s="4" t="str">
        <f>VLOOKUP(J128,'Team Hub'!$B$1:$F$65,5,false)</f>
        <v/>
      </c>
      <c r="M128" s="5" t="s">
        <v>56</v>
      </c>
      <c r="N128" s="5">
        <f>VLOOKUP(M128,'Team Hub'!$B$1:$F$65,4,false)</f>
        <v>260</v>
      </c>
      <c r="O128" s="5" t="str">
        <f>VLOOKUP(M128,'Team Hub'!$B$1:$F$65,5,false)</f>
        <v/>
      </c>
      <c r="P128" s="5" t="s">
        <v>136</v>
      </c>
      <c r="Q128" s="5">
        <f>VLOOKUP(P128,'Team Hub'!$B$1:$F$65,4,false)</f>
        <v>0</v>
      </c>
      <c r="R128" s="5" t="str">
        <f>VLOOKUP(P128,'Team Hub'!$B$1:$F$65,5,false)</f>
        <v/>
      </c>
      <c r="S128" s="5" t="s">
        <v>113</v>
      </c>
      <c r="T128" s="5">
        <f>VLOOKUP(S128,'Team Hub'!$B$1:$F$65,4,false)</f>
        <v>0</v>
      </c>
      <c r="U128" s="5" t="str">
        <f>VLOOKUP(S128,'Team Hub'!$B$1:$F$65,5,false)</f>
        <v/>
      </c>
      <c r="V128" s="5" t="s">
        <v>93</v>
      </c>
      <c r="W128" s="5">
        <f>VLOOKUP(V128,'Team Hub'!$B$1:$F$65,4,false)</f>
        <v>160</v>
      </c>
      <c r="X128" s="5" t="str">
        <f>VLOOKUP(V128,'Team Hub'!$B$1:$F$65,5,false)</f>
        <v/>
      </c>
      <c r="Y128" s="5" t="s">
        <v>76</v>
      </c>
      <c r="Z128" s="5">
        <f>VLOOKUP(Y128,'Team Hub'!$B$1:$F$65,4,false)</f>
        <v>170</v>
      </c>
      <c r="AA128" s="4" t="str">
        <f>VLOOKUP(Y128,'Team Hub'!$B$1:$F$65,5,false)</f>
        <v/>
      </c>
      <c r="AB128" s="5" t="s">
        <v>61</v>
      </c>
      <c r="AC128" s="5">
        <f>VLOOKUP(AB128,'Team Hub'!$B$1:$F$65,4,false)</f>
        <v>180</v>
      </c>
      <c r="AD128" s="4" t="str">
        <f>VLOOKUP(AB128,'Team Hub'!$B$1:$F$65,5,false)</f>
        <v/>
      </c>
      <c r="AE128" s="5" t="s">
        <v>123</v>
      </c>
      <c r="AF128" s="5">
        <f>VLOOKUP(AE128,'Team Hub'!$B$1:$F$65,4,false)</f>
        <v>0</v>
      </c>
      <c r="AG128" s="4" t="str">
        <f>VLOOKUP(AE128,'Team Hub'!$B$1:$F$65,5,false)</f>
        <v/>
      </c>
      <c r="AH128" s="5" t="s">
        <v>63</v>
      </c>
      <c r="AI128" s="5">
        <f>VLOOKUP(AH128,'Team Hub'!$B$1:$F$65,4,false)</f>
        <v>0</v>
      </c>
      <c r="AJ128" s="4" t="str">
        <f>VLOOKUP(AH128,'Team Hub'!$B$1:$F$65,5,false)</f>
        <v/>
      </c>
      <c r="AK128" s="5" t="s">
        <v>107</v>
      </c>
      <c r="AL128" s="5">
        <f>VLOOKUP(AK128,'Team Hub'!$B$1:$F$65,4,false)</f>
        <v>0</v>
      </c>
      <c r="AM128" s="4" t="str">
        <f>VLOOKUP(AK128,'Team Hub'!$B$1:$F$65,5,false)</f>
        <v/>
      </c>
      <c r="AN128" s="5" t="s">
        <v>77</v>
      </c>
      <c r="AO128" s="5">
        <f>VLOOKUP(AN128,'Team Hub'!$B$1:$F$65,4,false)</f>
        <v>0</v>
      </c>
      <c r="AP128" s="4" t="str">
        <f>VLOOKUP(AN128,'Team Hub'!$B$1:$F$65,5,false)</f>
        <v/>
      </c>
      <c r="AQ128" s="5" t="s">
        <v>117</v>
      </c>
      <c r="AR128" s="5">
        <f>VLOOKUP(AQ128,'Team Hub'!$B$1:$F$65,4,false)</f>
        <v>0</v>
      </c>
      <c r="AS128" s="4" t="str">
        <f>VLOOKUP(AQ128,'Team Hub'!$B$1:$F$65,5,false)</f>
        <v/>
      </c>
      <c r="AT128" s="5" t="s">
        <v>105</v>
      </c>
      <c r="AU128" s="5">
        <f>VLOOKUP(AT128,'Team Hub'!$B$1:$F$65,4,false)</f>
        <v>0</v>
      </c>
      <c r="AV128" s="5" t="str">
        <f>VLOOKUP(AT128,'Team Hub'!$B$1:$F$65,5,false)</f>
        <v/>
      </c>
      <c r="AW128" s="5" t="s">
        <v>95</v>
      </c>
      <c r="AX128" s="5">
        <f>VLOOKUP(AW128,'Team Hub'!$B$1:$F$65,4,false)</f>
        <v>0</v>
      </c>
      <c r="AY128" s="4" t="str">
        <f>VLOOKUP(AW128,'Team Hub'!$B$1:$F$65,5,false)</f>
        <v/>
      </c>
      <c r="AZ128" s="4" t="s">
        <v>69</v>
      </c>
    </row>
    <row r="129" ht="22.5" customHeight="1">
      <c r="A129" s="4" t="s">
        <v>242</v>
      </c>
      <c r="B129" s="2">
        <f t="shared" ref="B129:C129" si="128">sum(E129+H129+K129+N129+Q129+T129+W129+Z129+AC129+AF129+AI129+AL129+AO129+AR129+AU129+AX129)</f>
        <v>1600</v>
      </c>
      <c r="C129" s="2">
        <f t="shared" si="128"/>
        <v>0</v>
      </c>
      <c r="D129" s="5" t="s">
        <v>91</v>
      </c>
      <c r="E129" s="5">
        <f>VLOOKUP(D129,'Team Hub'!$B$1:$F$65,4,false)</f>
        <v>400</v>
      </c>
      <c r="F129" s="4" t="str">
        <f>VLOOKUP(D129,'Team Hub'!$B$1:$F$65,5,false)</f>
        <v/>
      </c>
      <c r="G129" s="5" t="s">
        <v>54</v>
      </c>
      <c r="H129" s="5">
        <f>VLOOKUP(G129,'Team Hub'!$B$1:$F$65,4,false)</f>
        <v>330</v>
      </c>
      <c r="I129" s="4" t="str">
        <f>VLOOKUP(G129,'Team Hub'!$B$1:$F$65,5,false)</f>
        <v/>
      </c>
      <c r="J129" s="5" t="s">
        <v>73</v>
      </c>
      <c r="K129" s="5">
        <f>VLOOKUP(J129,'Team Hub'!$B$1:$F$65,4,false)</f>
        <v>240</v>
      </c>
      <c r="L129" s="4" t="str">
        <f>VLOOKUP(J129,'Team Hub'!$B$1:$F$65,5,false)</f>
        <v/>
      </c>
      <c r="M129" s="5" t="s">
        <v>56</v>
      </c>
      <c r="N129" s="5">
        <f>VLOOKUP(M129,'Team Hub'!$B$1:$F$65,4,false)</f>
        <v>260</v>
      </c>
      <c r="O129" s="5" t="str">
        <f>VLOOKUP(M129,'Team Hub'!$B$1:$F$65,5,false)</f>
        <v/>
      </c>
      <c r="P129" s="5" t="s">
        <v>132</v>
      </c>
      <c r="Q129" s="5">
        <f>VLOOKUP(P129,'Team Hub'!$B$1:$F$65,4,false)</f>
        <v>0</v>
      </c>
      <c r="R129" s="5" t="str">
        <f>VLOOKUP(P129,'Team Hub'!$B$1:$F$65,5,false)</f>
        <v/>
      </c>
      <c r="S129" s="5" t="s">
        <v>113</v>
      </c>
      <c r="T129" s="5">
        <f>VLOOKUP(S129,'Team Hub'!$B$1:$F$65,4,false)</f>
        <v>0</v>
      </c>
      <c r="U129" s="5" t="str">
        <f>VLOOKUP(S129,'Team Hub'!$B$1:$F$65,5,false)</f>
        <v/>
      </c>
      <c r="V129" s="5" t="s">
        <v>75</v>
      </c>
      <c r="W129" s="5">
        <f>VLOOKUP(V129,'Team Hub'!$B$1:$F$65,4,false)</f>
        <v>0</v>
      </c>
      <c r="X129" s="5" t="str">
        <f>VLOOKUP(V129,'Team Hub'!$B$1:$F$65,5,false)</f>
        <v/>
      </c>
      <c r="Y129" s="5" t="s">
        <v>188</v>
      </c>
      <c r="Z129" s="5">
        <f>VLOOKUP(Y129,'Team Hub'!$B$1:$F$65,4,false)</f>
        <v>0</v>
      </c>
      <c r="AA129" s="4" t="str">
        <f>VLOOKUP(Y129,'Team Hub'!$B$1:$F$65,5,false)</f>
        <v/>
      </c>
      <c r="AB129" s="5" t="s">
        <v>61</v>
      </c>
      <c r="AC129" s="5">
        <f>VLOOKUP(AB129,'Team Hub'!$B$1:$F$65,4,false)</f>
        <v>180</v>
      </c>
      <c r="AD129" s="4" t="str">
        <f>VLOOKUP(AB129,'Team Hub'!$B$1:$F$65,5,false)</f>
        <v/>
      </c>
      <c r="AE129" s="5" t="s">
        <v>85</v>
      </c>
      <c r="AF129" s="5">
        <f>VLOOKUP(AE129,'Team Hub'!$B$1:$F$65,4,false)</f>
        <v>190</v>
      </c>
      <c r="AG129" s="4" t="str">
        <f>VLOOKUP(AE129,'Team Hub'!$B$1:$F$65,5,false)</f>
        <v/>
      </c>
      <c r="AH129" s="5" t="s">
        <v>98</v>
      </c>
      <c r="AI129" s="5">
        <f>VLOOKUP(AH129,'Team Hub'!$B$1:$F$65,4,false)</f>
        <v>0</v>
      </c>
      <c r="AJ129" s="4" t="str">
        <f>VLOOKUP(AH129,'Team Hub'!$B$1:$F$65,5,false)</f>
        <v/>
      </c>
      <c r="AK129" s="5" t="s">
        <v>107</v>
      </c>
      <c r="AL129" s="5">
        <f>VLOOKUP(AK129,'Team Hub'!$B$1:$F$65,4,false)</f>
        <v>0</v>
      </c>
      <c r="AM129" s="4" t="str">
        <f>VLOOKUP(AK129,'Team Hub'!$B$1:$F$65,5,false)</f>
        <v/>
      </c>
      <c r="AN129" s="5" t="s">
        <v>65</v>
      </c>
      <c r="AO129" s="5">
        <f>VLOOKUP(AN129,'Team Hub'!$B$1:$F$65,4,false)</f>
        <v>0</v>
      </c>
      <c r="AP129" s="4" t="str">
        <f>VLOOKUP(AN129,'Team Hub'!$B$1:$F$65,5,false)</f>
        <v/>
      </c>
      <c r="AQ129" s="5" t="s">
        <v>78</v>
      </c>
      <c r="AR129" s="5">
        <f>VLOOKUP(AQ129,'Team Hub'!$B$1:$F$65,4,false)</f>
        <v>0</v>
      </c>
      <c r="AS129" s="4" t="str">
        <f>VLOOKUP(AQ129,'Team Hub'!$B$1:$F$65,5,false)</f>
        <v/>
      </c>
      <c r="AT129" s="5" t="s">
        <v>67</v>
      </c>
      <c r="AU129" s="5">
        <f>VLOOKUP(AT129,'Team Hub'!$B$1:$F$65,4,false)</f>
        <v>0</v>
      </c>
      <c r="AV129" s="4" t="str">
        <f>VLOOKUP(AT129,'Team Hub'!$B$1:$F$65,5,false)</f>
        <v/>
      </c>
      <c r="AW129" s="5" t="s">
        <v>68</v>
      </c>
      <c r="AX129" s="5">
        <f>VLOOKUP(AW129,'Team Hub'!$B$1:$F$65,4,false)</f>
        <v>0</v>
      </c>
      <c r="AY129" s="4" t="str">
        <f>VLOOKUP(AW129,'Team Hub'!$B$1:$F$65,5,false)</f>
        <v/>
      </c>
      <c r="AZ129" s="4" t="s">
        <v>69</v>
      </c>
    </row>
    <row r="130" ht="22.5" customHeight="1">
      <c r="A130" s="4" t="s">
        <v>243</v>
      </c>
      <c r="B130" s="2">
        <f t="shared" ref="B130:C130" si="129">sum(E130+H130+K130+N130+Q130+T130+W130+Z130+AC130+AF130+AI130+AL130+AO130+AR130+AU130+AX130)</f>
        <v>1560</v>
      </c>
      <c r="C130" s="2">
        <f t="shared" si="129"/>
        <v>0</v>
      </c>
      <c r="D130" s="5" t="s">
        <v>53</v>
      </c>
      <c r="E130" s="5">
        <f>VLOOKUP(D130,'Team Hub'!$B$1:$F$65,4,false)</f>
        <v>400</v>
      </c>
      <c r="F130" s="4" t="str">
        <f>VLOOKUP(D130,'Team Hub'!$B$1:$F$65,5,false)</f>
        <v/>
      </c>
      <c r="G130" s="5" t="s">
        <v>72</v>
      </c>
      <c r="H130" s="5">
        <f>VLOOKUP(G130,'Team Hub'!$B$1:$F$65,4,false)</f>
        <v>330</v>
      </c>
      <c r="I130" s="5" t="str">
        <f>VLOOKUP(G130,'Team Hub'!$B$1:$F$65,5,false)</f>
        <v/>
      </c>
      <c r="J130" s="5" t="s">
        <v>73</v>
      </c>
      <c r="K130" s="5">
        <f>VLOOKUP(J130,'Team Hub'!$B$1:$F$65,4,false)</f>
        <v>240</v>
      </c>
      <c r="L130" s="4" t="str">
        <f>VLOOKUP(J130,'Team Hub'!$B$1:$F$65,5,false)</f>
        <v/>
      </c>
      <c r="M130" s="5" t="s">
        <v>97</v>
      </c>
      <c r="N130" s="5">
        <f>VLOOKUP(M130,'Team Hub'!$B$1:$F$65,4,false)</f>
        <v>260</v>
      </c>
      <c r="O130" s="5" t="str">
        <f>VLOOKUP(M130,'Team Hub'!$B$1:$F$65,5,false)</f>
        <v/>
      </c>
      <c r="P130" s="5" t="s">
        <v>132</v>
      </c>
      <c r="Q130" s="5">
        <f>VLOOKUP(P130,'Team Hub'!$B$1:$F$65,4,false)</f>
        <v>0</v>
      </c>
      <c r="R130" s="5" t="str">
        <f>VLOOKUP(P130,'Team Hub'!$B$1:$F$65,5,false)</f>
        <v/>
      </c>
      <c r="S130" s="5" t="s">
        <v>113</v>
      </c>
      <c r="T130" s="5">
        <f>VLOOKUP(S130,'Team Hub'!$B$1:$F$65,4,false)</f>
        <v>0</v>
      </c>
      <c r="U130" s="5" t="str">
        <f>VLOOKUP(S130,'Team Hub'!$B$1:$F$65,5,false)</f>
        <v/>
      </c>
      <c r="V130" s="5" t="s">
        <v>93</v>
      </c>
      <c r="W130" s="5">
        <f>VLOOKUP(V130,'Team Hub'!$B$1:$F$65,4,false)</f>
        <v>160</v>
      </c>
      <c r="X130" s="5" t="str">
        <f>VLOOKUP(V130,'Team Hub'!$B$1:$F$65,5,false)</f>
        <v/>
      </c>
      <c r="Y130" s="5" t="s">
        <v>76</v>
      </c>
      <c r="Z130" s="5">
        <f>VLOOKUP(Y130,'Team Hub'!$B$1:$F$65,4,false)</f>
        <v>170</v>
      </c>
      <c r="AA130" s="4" t="str">
        <f>VLOOKUP(Y130,'Team Hub'!$B$1:$F$65,5,false)</f>
        <v/>
      </c>
      <c r="AB130" s="5" t="s">
        <v>84</v>
      </c>
      <c r="AC130" s="5">
        <f>VLOOKUP(AB130,'Team Hub'!$B$1:$F$65,4,false)</f>
        <v>0</v>
      </c>
      <c r="AD130" s="4" t="str">
        <f>VLOOKUP(AB130,'Team Hub'!$B$1:$F$65,5,false)</f>
        <v/>
      </c>
      <c r="AE130" s="5" t="s">
        <v>123</v>
      </c>
      <c r="AF130" s="5">
        <f>VLOOKUP(AE130,'Team Hub'!$B$1:$F$65,4,false)</f>
        <v>0</v>
      </c>
      <c r="AG130" s="4" t="str">
        <f>VLOOKUP(AE130,'Team Hub'!$B$1:$F$65,5,false)</f>
        <v/>
      </c>
      <c r="AH130" s="5" t="s">
        <v>116</v>
      </c>
      <c r="AI130" s="5">
        <f>VLOOKUP(AH130,'Team Hub'!$B$1:$F$65,4,false)</f>
        <v>0</v>
      </c>
      <c r="AJ130" s="4" t="str">
        <f>VLOOKUP(AH130,'Team Hub'!$B$1:$F$65,5,false)</f>
        <v/>
      </c>
      <c r="AK130" s="5" t="s">
        <v>138</v>
      </c>
      <c r="AL130" s="5">
        <f>VLOOKUP(AK130,'Team Hub'!$B$1:$F$65,4,false)</f>
        <v>0</v>
      </c>
      <c r="AM130" s="4" t="str">
        <f>VLOOKUP(AK130,'Team Hub'!$B$1:$F$65,5,false)</f>
        <v/>
      </c>
      <c r="AN130" s="5" t="s">
        <v>65</v>
      </c>
      <c r="AO130" s="5">
        <f>VLOOKUP(AN130,'Team Hub'!$B$1:$F$65,4,false)</f>
        <v>0</v>
      </c>
      <c r="AP130" s="4" t="str">
        <f>VLOOKUP(AN130,'Team Hub'!$B$1:$F$65,5,false)</f>
        <v/>
      </c>
      <c r="AQ130" s="5" t="s">
        <v>78</v>
      </c>
      <c r="AR130" s="5">
        <f>VLOOKUP(AQ130,'Team Hub'!$B$1:$F$65,4,false)</f>
        <v>0</v>
      </c>
      <c r="AS130" s="4" t="str">
        <f>VLOOKUP(AQ130,'Team Hub'!$B$1:$F$65,5,false)</f>
        <v/>
      </c>
      <c r="AT130" s="5" t="s">
        <v>67</v>
      </c>
      <c r="AU130" s="5">
        <f>VLOOKUP(AT130,'Team Hub'!$B$1:$F$65,4,false)</f>
        <v>0</v>
      </c>
      <c r="AV130" s="4" t="str">
        <f>VLOOKUP(AT130,'Team Hub'!$B$1:$F$65,5,false)</f>
        <v/>
      </c>
      <c r="AW130" s="5" t="s">
        <v>103</v>
      </c>
      <c r="AX130" s="5">
        <f>VLOOKUP(AW130,'Team Hub'!$B$1:$F$65,4,false)</f>
        <v>0</v>
      </c>
      <c r="AY130" s="4" t="str">
        <f>VLOOKUP(AW130,'Team Hub'!$B$1:$F$65,5,false)</f>
        <v/>
      </c>
      <c r="AZ130" s="4" t="s">
        <v>69</v>
      </c>
    </row>
    <row r="131" ht="22.5" customHeight="1">
      <c r="A131" s="4" t="s">
        <v>244</v>
      </c>
      <c r="B131" s="2">
        <f t="shared" ref="B131:C131" si="130">sum(E131+H131+K131+N131+Q131+T131+W131+Z131+AC131+AF131+AI131+AL131+AO131+AR131+AU131+AX131)</f>
        <v>1390</v>
      </c>
      <c r="C131" s="2">
        <f t="shared" si="130"/>
        <v>0</v>
      </c>
      <c r="D131" s="5" t="s">
        <v>53</v>
      </c>
      <c r="E131" s="5">
        <f>VLOOKUP(D131,'Team Hub'!$B$1:$F$65,4,false)</f>
        <v>400</v>
      </c>
      <c r="F131" s="4" t="str">
        <f>VLOOKUP(D131,'Team Hub'!$B$1:$F$65,5,false)</f>
        <v/>
      </c>
      <c r="G131" s="5" t="s">
        <v>109</v>
      </c>
      <c r="H131" s="5">
        <f>VLOOKUP(G131,'Team Hub'!$B$1:$F$65,4,false)</f>
        <v>110</v>
      </c>
      <c r="I131" s="4" t="str">
        <f>VLOOKUP(G131,'Team Hub'!$B$1:$F$65,5,false)</f>
        <v/>
      </c>
      <c r="J131" s="5" t="s">
        <v>121</v>
      </c>
      <c r="K131" s="5">
        <f>VLOOKUP(J131,'Team Hub'!$B$1:$F$65,4,false)</f>
        <v>120</v>
      </c>
      <c r="L131" s="4" t="str">
        <f>VLOOKUP(J131,'Team Hub'!$B$1:$F$65,5,false)</f>
        <v/>
      </c>
      <c r="M131" s="5" t="s">
        <v>97</v>
      </c>
      <c r="N131" s="5">
        <f>VLOOKUP(M131,'Team Hub'!$B$1:$F$65,4,false)</f>
        <v>260</v>
      </c>
      <c r="O131" s="5" t="str">
        <f>VLOOKUP(M131,'Team Hub'!$B$1:$F$65,5,false)</f>
        <v/>
      </c>
      <c r="P131" s="5" t="s">
        <v>132</v>
      </c>
      <c r="Q131" s="5">
        <f>VLOOKUP(P131,'Team Hub'!$B$1:$F$65,4,false)</f>
        <v>0</v>
      </c>
      <c r="R131" s="5" t="str">
        <f>VLOOKUP(P131,'Team Hub'!$B$1:$F$65,5,false)</f>
        <v/>
      </c>
      <c r="S131" s="5" t="s">
        <v>92</v>
      </c>
      <c r="T131" s="5">
        <f>VLOOKUP(S131,'Team Hub'!$B$1:$F$65,4,false)</f>
        <v>150</v>
      </c>
      <c r="U131" s="5" t="str">
        <f>VLOOKUP(S131,'Team Hub'!$B$1:$F$65,5,false)</f>
        <v/>
      </c>
      <c r="V131" s="5" t="s">
        <v>75</v>
      </c>
      <c r="W131" s="5">
        <f>VLOOKUP(V131,'Team Hub'!$B$1:$F$65,4,false)</f>
        <v>0</v>
      </c>
      <c r="X131" s="5" t="str">
        <f>VLOOKUP(V131,'Team Hub'!$B$1:$F$65,5,false)</f>
        <v/>
      </c>
      <c r="Y131" s="5" t="s">
        <v>76</v>
      </c>
      <c r="Z131" s="5">
        <f>VLOOKUP(Y131,'Team Hub'!$B$1:$F$65,4,false)</f>
        <v>170</v>
      </c>
      <c r="AA131" s="4" t="str">
        <f>VLOOKUP(Y131,'Team Hub'!$B$1:$F$65,5,false)</f>
        <v/>
      </c>
      <c r="AB131" s="5" t="s">
        <v>61</v>
      </c>
      <c r="AC131" s="5">
        <f>VLOOKUP(AB131,'Team Hub'!$B$1:$F$65,4,false)</f>
        <v>180</v>
      </c>
      <c r="AD131" s="4" t="str">
        <f>VLOOKUP(AB131,'Team Hub'!$B$1:$F$65,5,false)</f>
        <v/>
      </c>
      <c r="AE131" s="5" t="s">
        <v>123</v>
      </c>
      <c r="AF131" s="5">
        <f>VLOOKUP(AE131,'Team Hub'!$B$1:$F$65,4,false)</f>
        <v>0</v>
      </c>
      <c r="AG131" s="4" t="str">
        <f>VLOOKUP(AE131,'Team Hub'!$B$1:$F$65,5,false)</f>
        <v/>
      </c>
      <c r="AH131" s="5" t="s">
        <v>98</v>
      </c>
      <c r="AI131" s="5">
        <f>VLOOKUP(AH131,'Team Hub'!$B$1:$F$65,4,false)</f>
        <v>0</v>
      </c>
      <c r="AJ131" s="4" t="str">
        <f>VLOOKUP(AH131,'Team Hub'!$B$1:$F$65,5,false)</f>
        <v/>
      </c>
      <c r="AK131" s="5" t="s">
        <v>107</v>
      </c>
      <c r="AL131" s="5">
        <f>VLOOKUP(AK131,'Team Hub'!$B$1:$F$65,4,false)</f>
        <v>0</v>
      </c>
      <c r="AM131" s="4" t="str">
        <f>VLOOKUP(AK131,'Team Hub'!$B$1:$F$65,5,false)</f>
        <v/>
      </c>
      <c r="AN131" s="5" t="s">
        <v>110</v>
      </c>
      <c r="AO131" s="5">
        <f>VLOOKUP(AN131,'Team Hub'!$B$1:$F$65,4,false)</f>
        <v>0</v>
      </c>
      <c r="AP131" s="4" t="str">
        <f>VLOOKUP(AN131,'Team Hub'!$B$1:$F$65,5,false)</f>
        <v/>
      </c>
      <c r="AQ131" s="5" t="s">
        <v>117</v>
      </c>
      <c r="AR131" s="5">
        <f>VLOOKUP(AQ131,'Team Hub'!$B$1:$F$65,4,false)</f>
        <v>0</v>
      </c>
      <c r="AS131" s="4" t="str">
        <f>VLOOKUP(AQ131,'Team Hub'!$B$1:$F$65,5,false)</f>
        <v/>
      </c>
      <c r="AT131" s="5" t="s">
        <v>79</v>
      </c>
      <c r="AU131" s="5">
        <f>VLOOKUP(AT131,'Team Hub'!$B$1:$F$65,4,false)</f>
        <v>0</v>
      </c>
      <c r="AV131" s="4" t="str">
        <f>VLOOKUP(AT131,'Team Hub'!$B$1:$F$65,5,false)</f>
        <v/>
      </c>
      <c r="AW131" s="5" t="s">
        <v>68</v>
      </c>
      <c r="AX131" s="5">
        <f>VLOOKUP(AW131,'Team Hub'!$B$1:$F$65,4,false)</f>
        <v>0</v>
      </c>
      <c r="AY131" s="4" t="str">
        <f>VLOOKUP(AW131,'Team Hub'!$B$1:$F$65,5,false)</f>
        <v/>
      </c>
      <c r="AZ131" s="4" t="s">
        <v>69</v>
      </c>
    </row>
    <row r="132" ht="22.5" customHeight="1">
      <c r="A132" s="4" t="s">
        <v>245</v>
      </c>
      <c r="B132" s="2">
        <f t="shared" ref="B132:C132" si="131">sum(E132+H132+K132+N132+Q132+T132+W132+Z132+AC132+AF132+AI132+AL132+AO132+AR132+AU132+AX132)</f>
        <v>1040</v>
      </c>
      <c r="C132" s="2">
        <f t="shared" si="131"/>
        <v>0</v>
      </c>
      <c r="D132" s="5" t="s">
        <v>91</v>
      </c>
      <c r="E132" s="5">
        <f>VLOOKUP(D132,'Team Hub'!$B$1:$F$65,4,false)</f>
        <v>400</v>
      </c>
      <c r="F132" s="4" t="str">
        <f>VLOOKUP(D132,'Team Hub'!$B$1:$F$65,5,false)</f>
        <v/>
      </c>
      <c r="G132" s="5" t="s">
        <v>109</v>
      </c>
      <c r="H132" s="5">
        <f>VLOOKUP(G132,'Team Hub'!$B$1:$F$65,4,false)</f>
        <v>110</v>
      </c>
      <c r="I132" s="4" t="str">
        <f>VLOOKUP(G132,'Team Hub'!$B$1:$F$65,5,false)</f>
        <v/>
      </c>
      <c r="J132" s="5" t="s">
        <v>101</v>
      </c>
      <c r="K132" s="5">
        <f>VLOOKUP(J132,'Team Hub'!$B$1:$F$65,4,false)</f>
        <v>120</v>
      </c>
      <c r="L132" s="4" t="str">
        <f>VLOOKUP(J132,'Team Hub'!$B$1:$F$65,5,false)</f>
        <v/>
      </c>
      <c r="M132" s="5" t="s">
        <v>74</v>
      </c>
      <c r="N132" s="5">
        <f>VLOOKUP(M132,'Team Hub'!$B$1:$F$65,4,false)</f>
        <v>260</v>
      </c>
      <c r="O132" s="5" t="str">
        <f>VLOOKUP(M132,'Team Hub'!$B$1:$F$65,5,false)</f>
        <v/>
      </c>
      <c r="P132" s="5" t="s">
        <v>132</v>
      </c>
      <c r="Q132" s="5">
        <f>VLOOKUP(P132,'Team Hub'!$B$1:$F$65,4,false)</f>
        <v>0</v>
      </c>
      <c r="R132" s="5" t="str">
        <f>VLOOKUP(P132,'Team Hub'!$B$1:$F$65,5,false)</f>
        <v/>
      </c>
      <c r="S132" s="5" t="s">
        <v>92</v>
      </c>
      <c r="T132" s="5">
        <f>VLOOKUP(S132,'Team Hub'!$B$1:$F$65,4,false)</f>
        <v>150</v>
      </c>
      <c r="U132" s="5" t="str">
        <f>VLOOKUP(S132,'Team Hub'!$B$1:$F$65,5,false)</f>
        <v/>
      </c>
      <c r="V132" s="5" t="s">
        <v>75</v>
      </c>
      <c r="W132" s="5">
        <f>VLOOKUP(V132,'Team Hub'!$B$1:$F$65,4,false)</f>
        <v>0</v>
      </c>
      <c r="X132" s="5" t="str">
        <f>VLOOKUP(V132,'Team Hub'!$B$1:$F$65,5,false)</f>
        <v/>
      </c>
      <c r="Y132" s="5" t="s">
        <v>126</v>
      </c>
      <c r="Z132" s="5">
        <f>VLOOKUP(Y132,'Team Hub'!$B$1:$F$65,4,false)</f>
        <v>0</v>
      </c>
      <c r="AA132" s="4" t="str">
        <f>VLOOKUP(Y132,'Team Hub'!$B$1:$F$65,5,false)</f>
        <v/>
      </c>
      <c r="AB132" s="5" t="s">
        <v>114</v>
      </c>
      <c r="AC132" s="5">
        <f>VLOOKUP(AB132,'Team Hub'!$B$1:$F$65,4,false)</f>
        <v>0</v>
      </c>
      <c r="AD132" s="4" t="str">
        <f>VLOOKUP(AB132,'Team Hub'!$B$1:$F$65,5,false)</f>
        <v/>
      </c>
      <c r="AE132" s="5" t="s">
        <v>154</v>
      </c>
      <c r="AF132" s="5">
        <f>VLOOKUP(AE132,'Team Hub'!$B$1:$F$65,4,false)</f>
        <v>0</v>
      </c>
      <c r="AG132" s="4" t="str">
        <f>VLOOKUP(AE132,'Team Hub'!$B$1:$F$65,5,false)</f>
        <v/>
      </c>
      <c r="AH132" s="5" t="s">
        <v>98</v>
      </c>
      <c r="AI132" s="5">
        <f>VLOOKUP(AH132,'Team Hub'!$B$1:$F$65,4,false)</f>
        <v>0</v>
      </c>
      <c r="AJ132" s="4" t="str">
        <f>VLOOKUP(AH132,'Team Hub'!$B$1:$F$65,5,false)</f>
        <v/>
      </c>
      <c r="AK132" s="5" t="s">
        <v>107</v>
      </c>
      <c r="AL132" s="5">
        <f>VLOOKUP(AK132,'Team Hub'!$B$1:$F$65,4,false)</f>
        <v>0</v>
      </c>
      <c r="AM132" s="4" t="str">
        <f>VLOOKUP(AK132,'Team Hub'!$B$1:$F$65,5,false)</f>
        <v/>
      </c>
      <c r="AN132" s="5" t="s">
        <v>77</v>
      </c>
      <c r="AO132" s="5">
        <f>VLOOKUP(AN132,'Team Hub'!$B$1:$F$65,4,false)</f>
        <v>0</v>
      </c>
      <c r="AP132" s="4" t="str">
        <f>VLOOKUP(AN132,'Team Hub'!$B$1:$F$65,5,false)</f>
        <v/>
      </c>
      <c r="AQ132" s="5" t="s">
        <v>89</v>
      </c>
      <c r="AR132" s="5">
        <f>VLOOKUP(AQ132,'Team Hub'!$B$1:$F$65,4,false)</f>
        <v>0</v>
      </c>
      <c r="AS132" s="4" t="str">
        <f>VLOOKUP(AQ132,'Team Hub'!$B$1:$F$65,5,false)</f>
        <v/>
      </c>
      <c r="AT132" s="5" t="s">
        <v>129</v>
      </c>
      <c r="AU132" s="5">
        <f>VLOOKUP(AT132,'Team Hub'!$B$1:$F$65,4,false)</f>
        <v>0</v>
      </c>
      <c r="AV132" s="4" t="str">
        <f>VLOOKUP(AT132,'Team Hub'!$B$1:$F$65,5,false)</f>
        <v/>
      </c>
      <c r="AW132" s="5" t="s">
        <v>99</v>
      </c>
      <c r="AX132" s="5">
        <f>VLOOKUP(AW132,'Team Hub'!$B$1:$F$65,4,false)</f>
        <v>0</v>
      </c>
      <c r="AY132" s="4" t="str">
        <f>VLOOKUP(AW132,'Team Hub'!$B$1:$F$65,5,false)</f>
        <v/>
      </c>
      <c r="AZ132" s="4" t="s">
        <v>69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38"/>
    <col customWidth="1" min="3" max="3" width="16.38"/>
    <col customWidth="1" min="5" max="5" width="14.38"/>
  </cols>
  <sheetData>
    <row r="1" ht="22.5" customHeight="1">
      <c r="A1" s="3" t="s">
        <v>246</v>
      </c>
      <c r="B1" s="3" t="s">
        <v>247</v>
      </c>
      <c r="C1" s="3" t="s">
        <v>248</v>
      </c>
      <c r="D1" s="3" t="s">
        <v>249</v>
      </c>
      <c r="E1" s="3" t="s">
        <v>1</v>
      </c>
      <c r="F1" s="3" t="s">
        <v>250</v>
      </c>
      <c r="G1" s="6" t="s">
        <v>251</v>
      </c>
    </row>
    <row r="2" ht="22.5" customHeight="1">
      <c r="A2" s="4">
        <v>1.0</v>
      </c>
      <c r="B2" s="4" t="s">
        <v>71</v>
      </c>
      <c r="C2" s="4">
        <v>100.0</v>
      </c>
      <c r="D2" s="4">
        <v>6.0</v>
      </c>
      <c r="E2" s="7">
        <f t="shared" ref="E2:E65" si="1">C2*D2</f>
        <v>600</v>
      </c>
      <c r="F2" s="4">
        <v>1.0</v>
      </c>
      <c r="G2" s="8"/>
    </row>
    <row r="3" ht="22.5" customHeight="1">
      <c r="A3" s="5">
        <v>1.0</v>
      </c>
      <c r="B3" s="5" t="s">
        <v>125</v>
      </c>
      <c r="C3" s="5">
        <v>100.0</v>
      </c>
      <c r="D3" s="5">
        <v>5.0</v>
      </c>
      <c r="E3" s="9">
        <f t="shared" si="1"/>
        <v>500</v>
      </c>
      <c r="F3" s="9"/>
      <c r="G3" s="8"/>
    </row>
    <row r="4" ht="22.5" customHeight="1">
      <c r="A4" s="5">
        <v>1.0</v>
      </c>
      <c r="B4" s="5" t="s">
        <v>53</v>
      </c>
      <c r="C4" s="5">
        <v>100.0</v>
      </c>
      <c r="D4" s="5">
        <v>4.0</v>
      </c>
      <c r="E4" s="9">
        <f t="shared" si="1"/>
        <v>400</v>
      </c>
      <c r="F4" s="5"/>
      <c r="G4" s="8"/>
    </row>
    <row r="5" ht="22.5" customHeight="1">
      <c r="A5" s="5">
        <v>1.0</v>
      </c>
      <c r="B5" s="5" t="s">
        <v>91</v>
      </c>
      <c r="C5" s="5">
        <v>100.0</v>
      </c>
      <c r="D5" s="5">
        <v>4.0</v>
      </c>
      <c r="E5" s="9">
        <f t="shared" si="1"/>
        <v>400</v>
      </c>
      <c r="F5" s="5"/>
      <c r="G5" s="8"/>
    </row>
    <row r="6" ht="22.5" customHeight="1">
      <c r="A6" s="5">
        <v>2.0</v>
      </c>
      <c r="B6" s="5" t="s">
        <v>81</v>
      </c>
      <c r="C6" s="5">
        <v>110.0</v>
      </c>
      <c r="D6" s="5">
        <v>3.0</v>
      </c>
      <c r="E6" s="9">
        <f t="shared" si="1"/>
        <v>330</v>
      </c>
      <c r="F6" s="9"/>
      <c r="G6" s="8"/>
    </row>
    <row r="7" ht="22.5" customHeight="1">
      <c r="A7" s="5">
        <v>2.0</v>
      </c>
      <c r="B7" s="5" t="s">
        <v>72</v>
      </c>
      <c r="C7" s="5">
        <v>110.0</v>
      </c>
      <c r="D7" s="5">
        <v>3.0</v>
      </c>
      <c r="E7" s="9">
        <f t="shared" si="1"/>
        <v>330</v>
      </c>
      <c r="F7" s="5"/>
      <c r="G7" s="8"/>
    </row>
    <row r="8" ht="22.5" customHeight="1">
      <c r="A8" s="5">
        <v>2.0</v>
      </c>
      <c r="B8" s="5" t="s">
        <v>54</v>
      </c>
      <c r="C8" s="5">
        <v>110.0</v>
      </c>
      <c r="D8" s="5">
        <v>3.0</v>
      </c>
      <c r="E8" s="9">
        <f t="shared" si="1"/>
        <v>330</v>
      </c>
      <c r="F8" s="9"/>
      <c r="G8" s="8"/>
    </row>
    <row r="9" ht="22.5" customHeight="1">
      <c r="A9" s="5">
        <v>3.0</v>
      </c>
      <c r="B9" s="5" t="s">
        <v>55</v>
      </c>
      <c r="C9" s="5">
        <v>120.0</v>
      </c>
      <c r="D9" s="5">
        <v>3.0</v>
      </c>
      <c r="E9" s="9">
        <f t="shared" si="1"/>
        <v>360</v>
      </c>
      <c r="F9" s="5"/>
      <c r="G9" s="8"/>
    </row>
    <row r="10" ht="22.5" customHeight="1">
      <c r="A10" s="5">
        <v>3.0</v>
      </c>
      <c r="B10" s="5" t="s">
        <v>73</v>
      </c>
      <c r="C10" s="5">
        <v>120.0</v>
      </c>
      <c r="D10" s="5">
        <v>2.0</v>
      </c>
      <c r="E10" s="9">
        <f t="shared" si="1"/>
        <v>240</v>
      </c>
      <c r="F10" s="5"/>
      <c r="G10" s="8"/>
    </row>
    <row r="11" ht="22.5" customHeight="1">
      <c r="A11" s="5">
        <v>4.0</v>
      </c>
      <c r="B11" s="5" t="s">
        <v>56</v>
      </c>
      <c r="C11" s="5">
        <v>130.0</v>
      </c>
      <c r="D11" s="5">
        <v>2.0</v>
      </c>
      <c r="E11" s="9">
        <f t="shared" si="1"/>
        <v>260</v>
      </c>
      <c r="F11" s="9"/>
      <c r="G11" s="8"/>
    </row>
    <row r="12" ht="22.5" customHeight="1">
      <c r="A12" s="5">
        <v>4.0</v>
      </c>
      <c r="B12" s="5" t="s">
        <v>97</v>
      </c>
      <c r="C12" s="5">
        <v>130.0</v>
      </c>
      <c r="D12" s="5">
        <v>2.0</v>
      </c>
      <c r="E12" s="9">
        <f t="shared" si="1"/>
        <v>260</v>
      </c>
      <c r="F12" s="9"/>
      <c r="G12" s="8"/>
    </row>
    <row r="13" ht="22.5" customHeight="1">
      <c r="A13" s="5">
        <v>4.0</v>
      </c>
      <c r="B13" s="5" t="s">
        <v>74</v>
      </c>
      <c r="C13" s="5">
        <v>130.0</v>
      </c>
      <c r="D13" s="5">
        <v>2.0</v>
      </c>
      <c r="E13" s="9">
        <f t="shared" si="1"/>
        <v>260</v>
      </c>
      <c r="F13" s="5"/>
      <c r="G13" s="8"/>
    </row>
    <row r="14" ht="22.5" customHeight="1">
      <c r="A14" s="5">
        <v>5.0</v>
      </c>
      <c r="B14" s="5" t="s">
        <v>57</v>
      </c>
      <c r="C14" s="5">
        <v>140.0</v>
      </c>
      <c r="D14" s="5">
        <v>2.0</v>
      </c>
      <c r="E14" s="9">
        <f t="shared" si="1"/>
        <v>280</v>
      </c>
      <c r="F14" s="5"/>
      <c r="G14" s="8"/>
    </row>
    <row r="15" ht="22.5" customHeight="1">
      <c r="A15" s="5">
        <v>6.0</v>
      </c>
      <c r="B15" s="5" t="s">
        <v>82</v>
      </c>
      <c r="C15" s="5">
        <v>150.0</v>
      </c>
      <c r="D15" s="5">
        <v>2.0</v>
      </c>
      <c r="E15" s="9">
        <f t="shared" si="1"/>
        <v>300</v>
      </c>
      <c r="F15" s="9"/>
      <c r="G15" s="8"/>
    </row>
    <row r="16" ht="22.5" customHeight="1">
      <c r="A16" s="5">
        <v>6.0</v>
      </c>
      <c r="B16" s="5" t="s">
        <v>58</v>
      </c>
      <c r="C16" s="5">
        <v>150.0</v>
      </c>
      <c r="D16" s="5">
        <v>2.0</v>
      </c>
      <c r="E16" s="9">
        <f t="shared" si="1"/>
        <v>300</v>
      </c>
      <c r="F16" s="5"/>
      <c r="G16" s="8"/>
    </row>
    <row r="17" ht="22.5" customHeight="1">
      <c r="A17" s="5">
        <v>10.0</v>
      </c>
      <c r="B17" s="5" t="s">
        <v>62</v>
      </c>
      <c r="C17" s="5">
        <v>190.0</v>
      </c>
      <c r="D17" s="5">
        <v>2.0</v>
      </c>
      <c r="E17" s="9">
        <f t="shared" si="1"/>
        <v>380</v>
      </c>
      <c r="F17" s="9"/>
      <c r="G17" s="8"/>
    </row>
    <row r="18" ht="22.5" customHeight="1">
      <c r="A18" s="5">
        <v>2.0</v>
      </c>
      <c r="B18" s="5" t="s">
        <v>109</v>
      </c>
      <c r="C18" s="5">
        <v>110.0</v>
      </c>
      <c r="D18" s="5">
        <v>1.0</v>
      </c>
      <c r="E18" s="9">
        <f t="shared" si="1"/>
        <v>110</v>
      </c>
      <c r="F18" s="5"/>
      <c r="G18" s="10"/>
    </row>
    <row r="19" ht="22.5" customHeight="1">
      <c r="A19" s="5">
        <v>3.0</v>
      </c>
      <c r="B19" s="5" t="s">
        <v>101</v>
      </c>
      <c r="C19" s="5">
        <v>120.0</v>
      </c>
      <c r="D19" s="5">
        <v>1.0</v>
      </c>
      <c r="E19" s="9">
        <f t="shared" si="1"/>
        <v>120</v>
      </c>
      <c r="F19" s="9"/>
      <c r="G19" s="8"/>
    </row>
    <row r="20" ht="22.5" customHeight="1">
      <c r="A20" s="5">
        <v>3.0</v>
      </c>
      <c r="B20" s="5" t="s">
        <v>121</v>
      </c>
      <c r="C20" s="5">
        <v>120.0</v>
      </c>
      <c r="D20" s="5">
        <v>1.0</v>
      </c>
      <c r="E20" s="9">
        <f t="shared" si="1"/>
        <v>120</v>
      </c>
      <c r="F20" s="9"/>
      <c r="G20" s="8"/>
    </row>
    <row r="21" ht="22.5" customHeight="1">
      <c r="A21" s="5">
        <v>4.0</v>
      </c>
      <c r="B21" s="5" t="s">
        <v>142</v>
      </c>
      <c r="C21" s="5">
        <v>130.0</v>
      </c>
      <c r="D21" s="5">
        <v>1.0</v>
      </c>
      <c r="E21" s="9">
        <f t="shared" si="1"/>
        <v>130</v>
      </c>
      <c r="F21" s="9"/>
      <c r="G21" s="8"/>
    </row>
    <row r="22" ht="22.5" customHeight="1">
      <c r="A22" s="5">
        <v>5.0</v>
      </c>
      <c r="B22" s="5" t="s">
        <v>102</v>
      </c>
      <c r="C22" s="5">
        <v>140.0</v>
      </c>
      <c r="D22" s="5">
        <v>1.0</v>
      </c>
      <c r="E22" s="9">
        <f t="shared" si="1"/>
        <v>140</v>
      </c>
      <c r="F22" s="9"/>
      <c r="G22" s="8"/>
    </row>
    <row r="23" ht="22.5" customHeight="1">
      <c r="A23" s="5">
        <v>6.0</v>
      </c>
      <c r="B23" s="5" t="s">
        <v>92</v>
      </c>
      <c r="C23" s="5">
        <v>150.0</v>
      </c>
      <c r="D23" s="5">
        <v>1.0</v>
      </c>
      <c r="E23" s="9">
        <f t="shared" si="1"/>
        <v>150</v>
      </c>
      <c r="F23" s="5"/>
      <c r="G23" s="8"/>
    </row>
    <row r="24" ht="22.5" customHeight="1">
      <c r="A24" s="5">
        <v>7.0</v>
      </c>
      <c r="B24" s="5" t="s">
        <v>93</v>
      </c>
      <c r="C24" s="5">
        <v>160.0</v>
      </c>
      <c r="D24" s="5">
        <v>1.0</v>
      </c>
      <c r="E24" s="9">
        <f t="shared" si="1"/>
        <v>160</v>
      </c>
      <c r="F24" s="9"/>
      <c r="G24" s="8"/>
    </row>
    <row r="25" ht="22.5" customHeight="1">
      <c r="A25" s="5">
        <v>7.0</v>
      </c>
      <c r="B25" s="5" t="s">
        <v>59</v>
      </c>
      <c r="C25" s="5">
        <v>160.0</v>
      </c>
      <c r="D25" s="5">
        <v>1.0</v>
      </c>
      <c r="E25" s="9">
        <f t="shared" si="1"/>
        <v>160</v>
      </c>
      <c r="F25" s="5"/>
      <c r="G25" s="8"/>
    </row>
    <row r="26" ht="22.5" customHeight="1">
      <c r="A26" s="5">
        <v>8.0</v>
      </c>
      <c r="B26" s="5" t="s">
        <v>60</v>
      </c>
      <c r="C26" s="5">
        <v>170.0</v>
      </c>
      <c r="D26" s="5">
        <v>1.0</v>
      </c>
      <c r="E26" s="9">
        <f t="shared" si="1"/>
        <v>170</v>
      </c>
      <c r="F26" s="9"/>
      <c r="G26" s="8"/>
    </row>
    <row r="27" ht="22.5" customHeight="1">
      <c r="A27" s="5">
        <v>8.0</v>
      </c>
      <c r="B27" s="5" t="s">
        <v>76</v>
      </c>
      <c r="C27" s="5">
        <v>170.0</v>
      </c>
      <c r="D27" s="5">
        <v>1.0</v>
      </c>
      <c r="E27" s="9">
        <f t="shared" si="1"/>
        <v>170</v>
      </c>
      <c r="F27" s="5"/>
      <c r="G27" s="8"/>
    </row>
    <row r="28" ht="22.5" customHeight="1">
      <c r="A28" s="5">
        <v>9.0</v>
      </c>
      <c r="B28" s="5" t="s">
        <v>61</v>
      </c>
      <c r="C28" s="5">
        <v>180.0</v>
      </c>
      <c r="D28" s="5">
        <v>1.0</v>
      </c>
      <c r="E28" s="9">
        <f t="shared" si="1"/>
        <v>180</v>
      </c>
      <c r="F28" s="9"/>
      <c r="G28" s="8"/>
    </row>
    <row r="29" ht="22.5" customHeight="1">
      <c r="A29" s="5">
        <v>9.0</v>
      </c>
      <c r="B29" s="5" t="s">
        <v>94</v>
      </c>
      <c r="C29" s="5">
        <v>180.0</v>
      </c>
      <c r="D29" s="5">
        <v>1.0</v>
      </c>
      <c r="E29" s="9">
        <f t="shared" si="1"/>
        <v>180</v>
      </c>
      <c r="F29" s="9"/>
      <c r="G29" s="8"/>
    </row>
    <row r="30" ht="22.5" customHeight="1">
      <c r="A30" s="5">
        <v>10.0</v>
      </c>
      <c r="B30" s="5" t="s">
        <v>85</v>
      </c>
      <c r="C30" s="5">
        <v>190.0</v>
      </c>
      <c r="D30" s="5">
        <v>1.0</v>
      </c>
      <c r="E30" s="9">
        <f t="shared" si="1"/>
        <v>190</v>
      </c>
      <c r="F30" s="9"/>
      <c r="G30" s="8"/>
    </row>
    <row r="31" ht="22.5" customHeight="1">
      <c r="A31" s="5">
        <v>11.0</v>
      </c>
      <c r="B31" s="5" t="s">
        <v>86</v>
      </c>
      <c r="C31" s="5">
        <v>200.0</v>
      </c>
      <c r="D31" s="5">
        <v>1.0</v>
      </c>
      <c r="E31" s="9">
        <f t="shared" si="1"/>
        <v>200</v>
      </c>
      <c r="F31" s="9"/>
      <c r="G31" s="8"/>
    </row>
    <row r="32" ht="22.5" customHeight="1">
      <c r="A32" s="5">
        <v>12.0</v>
      </c>
      <c r="B32" s="5" t="s">
        <v>64</v>
      </c>
      <c r="C32" s="5">
        <v>210.0</v>
      </c>
      <c r="D32" s="5">
        <v>1.0</v>
      </c>
      <c r="E32" s="9">
        <f t="shared" si="1"/>
        <v>210</v>
      </c>
      <c r="F32" s="5"/>
      <c r="G32" s="8"/>
    </row>
    <row r="33" ht="22.5" customHeight="1">
      <c r="A33" s="5">
        <v>12.0</v>
      </c>
      <c r="B33" s="5" t="s">
        <v>87</v>
      </c>
      <c r="C33" s="5">
        <v>210.0</v>
      </c>
      <c r="D33" s="5">
        <v>1.0</v>
      </c>
      <c r="E33" s="9">
        <f t="shared" si="1"/>
        <v>210</v>
      </c>
      <c r="F33" s="5"/>
      <c r="G33" s="10"/>
    </row>
    <row r="34" ht="22.5" customHeight="1">
      <c r="A34" s="5">
        <v>5.0</v>
      </c>
      <c r="B34" s="5" t="s">
        <v>132</v>
      </c>
      <c r="C34" s="5">
        <v>140.0</v>
      </c>
      <c r="D34" s="9"/>
      <c r="E34" s="9">
        <f t="shared" si="1"/>
        <v>0</v>
      </c>
      <c r="F34" s="5"/>
      <c r="G34" s="10"/>
    </row>
    <row r="35" ht="22.5" customHeight="1">
      <c r="A35" s="5">
        <v>5.0</v>
      </c>
      <c r="B35" s="5" t="s">
        <v>136</v>
      </c>
      <c r="C35" s="5">
        <v>140.0</v>
      </c>
      <c r="D35" s="9"/>
      <c r="E35" s="9">
        <f t="shared" si="1"/>
        <v>0</v>
      </c>
      <c r="F35" s="5"/>
      <c r="G35" s="10"/>
    </row>
    <row r="36" ht="22.5" customHeight="1">
      <c r="A36" s="5">
        <v>6.0</v>
      </c>
      <c r="B36" s="5" t="s">
        <v>113</v>
      </c>
      <c r="C36" s="5">
        <v>150.0</v>
      </c>
      <c r="D36" s="9"/>
      <c r="E36" s="9">
        <f t="shared" si="1"/>
        <v>0</v>
      </c>
      <c r="F36" s="5"/>
      <c r="G36" s="10"/>
    </row>
    <row r="37" ht="22.5" customHeight="1">
      <c r="A37" s="5">
        <v>7.0</v>
      </c>
      <c r="B37" s="5" t="s">
        <v>75</v>
      </c>
      <c r="C37" s="5">
        <v>160.0</v>
      </c>
      <c r="D37" s="9"/>
      <c r="E37" s="9">
        <f t="shared" si="1"/>
        <v>0</v>
      </c>
      <c r="F37" s="9"/>
      <c r="G37" s="11"/>
    </row>
    <row r="38" ht="22.5" customHeight="1">
      <c r="A38" s="5">
        <v>7.0</v>
      </c>
      <c r="B38" s="5" t="s">
        <v>83</v>
      </c>
      <c r="C38" s="5">
        <v>160.0</v>
      </c>
      <c r="D38" s="9"/>
      <c r="E38" s="9">
        <f t="shared" si="1"/>
        <v>0</v>
      </c>
      <c r="F38" s="9"/>
      <c r="G38" s="11"/>
    </row>
    <row r="39" ht="22.5" customHeight="1">
      <c r="A39" s="5">
        <v>8.0</v>
      </c>
      <c r="B39" s="5" t="s">
        <v>126</v>
      </c>
      <c r="C39" s="5">
        <v>170.0</v>
      </c>
      <c r="D39" s="9"/>
      <c r="E39" s="9">
        <f t="shared" si="1"/>
        <v>0</v>
      </c>
      <c r="F39" s="5"/>
      <c r="G39" s="10"/>
    </row>
    <row r="40" ht="22.5" customHeight="1">
      <c r="A40" s="5">
        <v>8.0</v>
      </c>
      <c r="B40" s="5" t="s">
        <v>188</v>
      </c>
      <c r="C40" s="5">
        <v>170.0</v>
      </c>
      <c r="D40" s="9"/>
      <c r="E40" s="9">
        <f t="shared" si="1"/>
        <v>0</v>
      </c>
      <c r="F40" s="5"/>
      <c r="G40" s="10"/>
    </row>
    <row r="41" ht="22.5" customHeight="1">
      <c r="A41" s="5">
        <v>9.0</v>
      </c>
      <c r="B41" s="5" t="s">
        <v>84</v>
      </c>
      <c r="C41" s="5">
        <v>180.0</v>
      </c>
      <c r="D41" s="9"/>
      <c r="E41" s="9">
        <f t="shared" si="1"/>
        <v>0</v>
      </c>
      <c r="F41" s="9"/>
      <c r="G41" s="11"/>
    </row>
    <row r="42" ht="22.5" customHeight="1">
      <c r="A42" s="5">
        <v>9.0</v>
      </c>
      <c r="B42" s="5" t="s">
        <v>114</v>
      </c>
      <c r="C42" s="5">
        <v>180.0</v>
      </c>
      <c r="D42" s="9"/>
      <c r="E42" s="9">
        <f t="shared" si="1"/>
        <v>0</v>
      </c>
      <c r="F42" s="5"/>
      <c r="G42" s="10"/>
    </row>
    <row r="43" ht="22.5" customHeight="1">
      <c r="A43" s="5">
        <v>10.0</v>
      </c>
      <c r="B43" s="5" t="s">
        <v>123</v>
      </c>
      <c r="C43" s="5">
        <v>190.0</v>
      </c>
      <c r="D43" s="9"/>
      <c r="E43" s="9">
        <f t="shared" si="1"/>
        <v>0</v>
      </c>
      <c r="F43" s="5"/>
      <c r="G43" s="10"/>
    </row>
    <row r="44" ht="22.5" customHeight="1">
      <c r="A44" s="5">
        <v>10.0</v>
      </c>
      <c r="B44" s="5" t="s">
        <v>154</v>
      </c>
      <c r="C44" s="5">
        <v>190.0</v>
      </c>
      <c r="D44" s="9"/>
      <c r="E44" s="9">
        <f t="shared" si="1"/>
        <v>0</v>
      </c>
      <c r="F44" s="9"/>
      <c r="G44" s="11"/>
    </row>
    <row r="45" ht="22.5" customHeight="1">
      <c r="A45" s="5">
        <v>11.0</v>
      </c>
      <c r="B45" s="5" t="s">
        <v>98</v>
      </c>
      <c r="C45" s="5">
        <v>200.0</v>
      </c>
      <c r="D45" s="9"/>
      <c r="E45" s="9">
        <f t="shared" si="1"/>
        <v>0</v>
      </c>
      <c r="F45" s="5"/>
      <c r="G45" s="10"/>
    </row>
    <row r="46" ht="22.5" customHeight="1">
      <c r="A46" s="5">
        <v>11.0</v>
      </c>
      <c r="B46" s="5" t="s">
        <v>116</v>
      </c>
      <c r="C46" s="5">
        <v>200.0</v>
      </c>
      <c r="D46" s="9"/>
      <c r="E46" s="9">
        <f t="shared" si="1"/>
        <v>0</v>
      </c>
      <c r="F46" s="9"/>
      <c r="G46" s="11"/>
    </row>
    <row r="47" ht="22.5" customHeight="1">
      <c r="A47" s="5">
        <v>11.0</v>
      </c>
      <c r="B47" s="5" t="s">
        <v>63</v>
      </c>
      <c r="C47" s="5">
        <v>200.0</v>
      </c>
      <c r="D47" s="9"/>
      <c r="E47" s="9">
        <f t="shared" si="1"/>
        <v>0</v>
      </c>
      <c r="F47" s="9"/>
      <c r="G47" s="11"/>
    </row>
    <row r="48" ht="22.5" customHeight="1">
      <c r="A48" s="5">
        <v>12.0</v>
      </c>
      <c r="B48" s="5" t="s">
        <v>107</v>
      </c>
      <c r="C48" s="5">
        <v>210.0</v>
      </c>
      <c r="D48" s="9"/>
      <c r="E48" s="9">
        <f t="shared" si="1"/>
        <v>0</v>
      </c>
      <c r="F48" s="9"/>
      <c r="G48" s="11"/>
    </row>
    <row r="49" ht="22.5" customHeight="1">
      <c r="A49" s="5">
        <v>12.0</v>
      </c>
      <c r="B49" s="5" t="s">
        <v>138</v>
      </c>
      <c r="C49" s="5">
        <v>210.0</v>
      </c>
      <c r="D49" s="9"/>
      <c r="E49" s="9">
        <f t="shared" si="1"/>
        <v>0</v>
      </c>
      <c r="F49" s="9"/>
      <c r="G49" s="11"/>
    </row>
    <row r="50" ht="22.5" customHeight="1">
      <c r="A50" s="5">
        <v>13.0</v>
      </c>
      <c r="B50" s="5" t="s">
        <v>88</v>
      </c>
      <c r="C50" s="5">
        <v>220.0</v>
      </c>
      <c r="D50" s="9"/>
      <c r="E50" s="9">
        <f t="shared" si="1"/>
        <v>0</v>
      </c>
      <c r="F50" s="5"/>
      <c r="G50" s="10"/>
    </row>
    <row r="51" ht="22.5" customHeight="1">
      <c r="A51" s="5">
        <v>13.0</v>
      </c>
      <c r="B51" s="5" t="s">
        <v>110</v>
      </c>
      <c r="C51" s="5">
        <v>220.0</v>
      </c>
      <c r="D51" s="9"/>
      <c r="E51" s="9">
        <f t="shared" si="1"/>
        <v>0</v>
      </c>
      <c r="F51" s="9"/>
      <c r="G51" s="11"/>
    </row>
    <row r="52" ht="22.5" customHeight="1">
      <c r="A52" s="5">
        <v>13.0</v>
      </c>
      <c r="B52" s="5" t="s">
        <v>77</v>
      </c>
      <c r="C52" s="5">
        <v>220.0</v>
      </c>
      <c r="D52" s="9"/>
      <c r="E52" s="9">
        <f t="shared" si="1"/>
        <v>0</v>
      </c>
      <c r="F52" s="5"/>
      <c r="G52" s="10"/>
    </row>
    <row r="53" ht="22.5" customHeight="1">
      <c r="A53" s="5">
        <v>13.0</v>
      </c>
      <c r="B53" s="5" t="s">
        <v>65</v>
      </c>
      <c r="C53" s="5">
        <v>220.0</v>
      </c>
      <c r="D53" s="9"/>
      <c r="E53" s="9">
        <f t="shared" si="1"/>
        <v>0</v>
      </c>
      <c r="F53" s="9"/>
      <c r="G53" s="11"/>
    </row>
    <row r="54" ht="22.5" customHeight="1">
      <c r="A54" s="5">
        <v>14.0</v>
      </c>
      <c r="B54" s="5" t="s">
        <v>78</v>
      </c>
      <c r="C54" s="5">
        <v>230.0</v>
      </c>
      <c r="D54" s="9"/>
      <c r="E54" s="9">
        <f t="shared" si="1"/>
        <v>0</v>
      </c>
      <c r="F54" s="5"/>
      <c r="G54" s="10"/>
    </row>
    <row r="55" ht="22.5" customHeight="1">
      <c r="A55" s="5">
        <v>14.0</v>
      </c>
      <c r="B55" s="5" t="s">
        <v>66</v>
      </c>
      <c r="C55" s="5">
        <v>230.0</v>
      </c>
      <c r="D55" s="9"/>
      <c r="E55" s="9">
        <f t="shared" si="1"/>
        <v>0</v>
      </c>
      <c r="F55" s="9"/>
      <c r="G55" s="11"/>
    </row>
    <row r="56" ht="22.5" customHeight="1">
      <c r="A56" s="5">
        <v>14.0</v>
      </c>
      <c r="B56" s="5" t="s">
        <v>117</v>
      </c>
      <c r="C56" s="5">
        <v>230.0</v>
      </c>
      <c r="D56" s="9"/>
      <c r="E56" s="9">
        <f t="shared" si="1"/>
        <v>0</v>
      </c>
      <c r="F56" s="9"/>
      <c r="G56" s="11"/>
    </row>
    <row r="57" ht="22.5" customHeight="1">
      <c r="A57" s="5">
        <v>14.0</v>
      </c>
      <c r="B57" s="5" t="s">
        <v>89</v>
      </c>
      <c r="C57" s="5">
        <v>230.0</v>
      </c>
      <c r="D57" s="9"/>
      <c r="E57" s="9">
        <f t="shared" si="1"/>
        <v>0</v>
      </c>
      <c r="F57" s="5"/>
      <c r="G57" s="10"/>
    </row>
    <row r="58" ht="22.5" customHeight="1">
      <c r="A58" s="5">
        <v>15.0</v>
      </c>
      <c r="B58" s="5" t="s">
        <v>105</v>
      </c>
      <c r="C58" s="5">
        <v>240.0</v>
      </c>
      <c r="D58" s="9"/>
      <c r="E58" s="9">
        <f t="shared" si="1"/>
        <v>0</v>
      </c>
      <c r="F58" s="5"/>
      <c r="G58" s="10"/>
    </row>
    <row r="59" ht="22.5" customHeight="1">
      <c r="A59" s="5">
        <v>15.0</v>
      </c>
      <c r="B59" s="5" t="s">
        <v>79</v>
      </c>
      <c r="C59" s="5">
        <v>240.0</v>
      </c>
      <c r="D59" s="9"/>
      <c r="E59" s="9">
        <f t="shared" si="1"/>
        <v>0</v>
      </c>
      <c r="F59" s="9"/>
      <c r="G59" s="11"/>
    </row>
    <row r="60" ht="22.5" customHeight="1">
      <c r="A60" s="5">
        <v>15.0</v>
      </c>
      <c r="B60" s="5" t="s">
        <v>129</v>
      </c>
      <c r="C60" s="5">
        <v>240.0</v>
      </c>
      <c r="D60" s="9"/>
      <c r="E60" s="9">
        <f t="shared" si="1"/>
        <v>0</v>
      </c>
      <c r="F60" s="9"/>
      <c r="G60" s="11"/>
    </row>
    <row r="61" ht="22.5" customHeight="1">
      <c r="A61" s="5">
        <v>15.0</v>
      </c>
      <c r="B61" s="5" t="s">
        <v>67</v>
      </c>
      <c r="C61" s="5">
        <v>240.0</v>
      </c>
      <c r="D61" s="9"/>
      <c r="E61" s="9">
        <f t="shared" si="1"/>
        <v>0</v>
      </c>
      <c r="F61" s="9"/>
      <c r="G61" s="11"/>
    </row>
    <row r="62" ht="22.5" customHeight="1">
      <c r="A62" s="5">
        <v>16.0</v>
      </c>
      <c r="B62" s="5" t="s">
        <v>99</v>
      </c>
      <c r="C62" s="5">
        <v>250.0</v>
      </c>
      <c r="D62" s="9"/>
      <c r="E62" s="9">
        <f t="shared" si="1"/>
        <v>0</v>
      </c>
      <c r="F62" s="5"/>
      <c r="G62" s="10"/>
    </row>
    <row r="63" ht="22.5" customHeight="1">
      <c r="A63" s="5">
        <v>16.0</v>
      </c>
      <c r="B63" s="5" t="s">
        <v>68</v>
      </c>
      <c r="C63" s="5">
        <v>250.0</v>
      </c>
      <c r="D63" s="9"/>
      <c r="E63" s="9">
        <f t="shared" si="1"/>
        <v>0</v>
      </c>
      <c r="F63" s="9"/>
      <c r="G63" s="11"/>
      <c r="I63" s="12"/>
      <c r="J63" s="13"/>
    </row>
    <row r="64" ht="22.5" customHeight="1">
      <c r="A64" s="5">
        <v>16.0</v>
      </c>
      <c r="B64" s="5" t="s">
        <v>95</v>
      </c>
      <c r="C64" s="5">
        <v>250.0</v>
      </c>
      <c r="D64" s="9"/>
      <c r="E64" s="9">
        <f t="shared" si="1"/>
        <v>0</v>
      </c>
      <c r="F64" s="5"/>
      <c r="G64" s="10"/>
    </row>
    <row r="65" ht="22.5" customHeight="1">
      <c r="A65" s="5">
        <v>16.0</v>
      </c>
      <c r="B65" s="5" t="s">
        <v>103</v>
      </c>
      <c r="C65" s="5">
        <v>250.0</v>
      </c>
      <c r="D65" s="9"/>
      <c r="E65" s="9">
        <f t="shared" si="1"/>
        <v>0</v>
      </c>
      <c r="F65" s="5"/>
      <c r="G65" s="10"/>
    </row>
    <row r="66" ht="22.5" customHeight="1">
      <c r="A66" s="4" t="s">
        <v>252</v>
      </c>
      <c r="G66" s="14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8" width="24.0"/>
    <col customWidth="1" min="9" max="9" width="24.38"/>
    <col customWidth="1" min="10" max="11" width="24.0"/>
    <col customWidth="1" min="12" max="18" width="24.88"/>
    <col customWidth="1" min="19" max="19" width="24.63"/>
    <col customWidth="1" min="20" max="20" width="26.0"/>
    <col customWidth="1" min="21" max="26" width="18.88"/>
  </cols>
  <sheetData>
    <row r="1" ht="22.5" customHeight="1">
      <c r="A1" s="15" t="s">
        <v>253</v>
      </c>
      <c r="B1" s="15" t="s">
        <v>0</v>
      </c>
      <c r="C1" s="15" t="s">
        <v>254</v>
      </c>
      <c r="D1" s="15" t="s">
        <v>255</v>
      </c>
      <c r="E1" s="15" t="s">
        <v>256</v>
      </c>
      <c r="F1" s="15" t="s">
        <v>257</v>
      </c>
      <c r="G1" s="15" t="s">
        <v>258</v>
      </c>
      <c r="H1" s="15" t="s">
        <v>259</v>
      </c>
      <c r="I1" s="15" t="s">
        <v>260</v>
      </c>
      <c r="J1" s="15" t="s">
        <v>261</v>
      </c>
      <c r="K1" s="15" t="s">
        <v>262</v>
      </c>
      <c r="L1" s="15" t="s">
        <v>263</v>
      </c>
      <c r="M1" s="15" t="s">
        <v>264</v>
      </c>
      <c r="N1" s="15" t="s">
        <v>265</v>
      </c>
      <c r="O1" s="15" t="s">
        <v>266</v>
      </c>
      <c r="P1" s="15" t="s">
        <v>267</v>
      </c>
      <c r="Q1" s="15" t="s">
        <v>268</v>
      </c>
      <c r="R1" s="15" t="s">
        <v>269</v>
      </c>
      <c r="S1" s="15" t="s">
        <v>270</v>
      </c>
      <c r="T1" s="15" t="s">
        <v>271</v>
      </c>
    </row>
    <row r="2" ht="22.5" customHeight="1">
      <c r="A2" s="16">
        <v>45736.426516064814</v>
      </c>
      <c r="B2" s="17" t="s">
        <v>90</v>
      </c>
      <c r="C2" s="17" t="s">
        <v>91</v>
      </c>
      <c r="D2" s="17" t="s">
        <v>54</v>
      </c>
      <c r="E2" s="17" t="s">
        <v>55</v>
      </c>
      <c r="F2" s="17" t="s">
        <v>56</v>
      </c>
      <c r="G2" s="17" t="s">
        <v>57</v>
      </c>
      <c r="H2" s="17" t="s">
        <v>92</v>
      </c>
      <c r="I2" s="17" t="s">
        <v>93</v>
      </c>
      <c r="J2" s="17" t="s">
        <v>60</v>
      </c>
      <c r="K2" s="17" t="s">
        <v>94</v>
      </c>
      <c r="L2" s="17" t="s">
        <v>85</v>
      </c>
      <c r="M2" s="17" t="s">
        <v>86</v>
      </c>
      <c r="N2" s="17" t="s">
        <v>64</v>
      </c>
      <c r="O2" s="17" t="s">
        <v>88</v>
      </c>
      <c r="P2" s="17" t="s">
        <v>66</v>
      </c>
      <c r="Q2" s="17" t="s">
        <v>79</v>
      </c>
      <c r="R2" s="17" t="s">
        <v>95</v>
      </c>
      <c r="S2" s="17" t="s">
        <v>69</v>
      </c>
      <c r="T2" s="17" t="s">
        <v>272</v>
      </c>
    </row>
    <row r="3" ht="22.5" customHeight="1">
      <c r="A3" s="16">
        <v>45736.421432048606</v>
      </c>
      <c r="B3" s="17" t="s">
        <v>181</v>
      </c>
      <c r="C3" s="17" t="s">
        <v>53</v>
      </c>
      <c r="D3" s="17" t="s">
        <v>54</v>
      </c>
      <c r="E3" s="17" t="s">
        <v>55</v>
      </c>
      <c r="F3" s="17" t="s">
        <v>97</v>
      </c>
      <c r="G3" s="17" t="s">
        <v>132</v>
      </c>
      <c r="H3" s="17" t="s">
        <v>92</v>
      </c>
      <c r="I3" s="17" t="s">
        <v>83</v>
      </c>
      <c r="J3" s="17" t="s">
        <v>76</v>
      </c>
      <c r="K3" s="17" t="s">
        <v>61</v>
      </c>
      <c r="L3" s="17" t="s">
        <v>85</v>
      </c>
      <c r="M3" s="17" t="s">
        <v>98</v>
      </c>
      <c r="N3" s="17" t="s">
        <v>64</v>
      </c>
      <c r="O3" s="17" t="s">
        <v>88</v>
      </c>
      <c r="P3" s="17" t="s">
        <v>66</v>
      </c>
      <c r="Q3" s="17" t="s">
        <v>79</v>
      </c>
      <c r="R3" s="17" t="s">
        <v>68</v>
      </c>
      <c r="S3" s="17" t="s">
        <v>69</v>
      </c>
      <c r="T3" s="17" t="s">
        <v>272</v>
      </c>
    </row>
    <row r="4" ht="22.5" customHeight="1">
      <c r="A4" s="16">
        <v>45736.41826150463</v>
      </c>
      <c r="B4" s="17" t="s">
        <v>172</v>
      </c>
      <c r="C4" s="17" t="s">
        <v>53</v>
      </c>
      <c r="D4" s="17" t="s">
        <v>81</v>
      </c>
      <c r="E4" s="17" t="s">
        <v>73</v>
      </c>
      <c r="F4" s="17" t="s">
        <v>56</v>
      </c>
      <c r="G4" s="17" t="s">
        <v>132</v>
      </c>
      <c r="H4" s="17" t="s">
        <v>92</v>
      </c>
      <c r="I4" s="17" t="s">
        <v>83</v>
      </c>
      <c r="J4" s="17" t="s">
        <v>76</v>
      </c>
      <c r="K4" s="17" t="s">
        <v>61</v>
      </c>
      <c r="L4" s="17" t="s">
        <v>62</v>
      </c>
      <c r="M4" s="17" t="s">
        <v>98</v>
      </c>
      <c r="N4" s="17" t="s">
        <v>64</v>
      </c>
      <c r="O4" s="17" t="s">
        <v>88</v>
      </c>
      <c r="P4" s="17" t="s">
        <v>78</v>
      </c>
      <c r="Q4" s="17" t="s">
        <v>79</v>
      </c>
      <c r="R4" s="17" t="s">
        <v>95</v>
      </c>
      <c r="S4" s="17" t="s">
        <v>69</v>
      </c>
      <c r="T4" s="17" t="s">
        <v>272</v>
      </c>
    </row>
    <row r="5" ht="22.5" customHeight="1">
      <c r="A5" s="16">
        <v>45736.410677175925</v>
      </c>
      <c r="B5" s="17" t="s">
        <v>210</v>
      </c>
      <c r="C5" s="17" t="s">
        <v>71</v>
      </c>
      <c r="D5" s="17" t="s">
        <v>72</v>
      </c>
      <c r="E5" s="17" t="s">
        <v>73</v>
      </c>
      <c r="F5" s="17" t="s">
        <v>56</v>
      </c>
      <c r="G5" s="17" t="s">
        <v>132</v>
      </c>
      <c r="H5" s="17" t="s">
        <v>113</v>
      </c>
      <c r="I5" s="17" t="s">
        <v>75</v>
      </c>
      <c r="J5" s="17" t="s">
        <v>76</v>
      </c>
      <c r="K5" s="17" t="s">
        <v>61</v>
      </c>
      <c r="L5" s="17" t="s">
        <v>123</v>
      </c>
      <c r="M5" s="17" t="s">
        <v>63</v>
      </c>
      <c r="N5" s="17" t="s">
        <v>64</v>
      </c>
      <c r="O5" s="17" t="s">
        <v>77</v>
      </c>
      <c r="P5" s="17" t="s">
        <v>89</v>
      </c>
      <c r="Q5" s="17" t="s">
        <v>129</v>
      </c>
      <c r="R5" s="17" t="s">
        <v>68</v>
      </c>
      <c r="S5" s="17" t="s">
        <v>69</v>
      </c>
      <c r="T5" s="17" t="s">
        <v>272</v>
      </c>
    </row>
    <row r="6" ht="22.5" customHeight="1">
      <c r="A6" s="16">
        <v>45736.410294375004</v>
      </c>
      <c r="B6" s="17" t="s">
        <v>232</v>
      </c>
      <c r="C6" s="17" t="s">
        <v>53</v>
      </c>
      <c r="D6" s="17" t="s">
        <v>81</v>
      </c>
      <c r="E6" s="17" t="s">
        <v>101</v>
      </c>
      <c r="F6" s="17" t="s">
        <v>56</v>
      </c>
      <c r="G6" s="17" t="s">
        <v>102</v>
      </c>
      <c r="H6" s="17" t="s">
        <v>92</v>
      </c>
      <c r="I6" s="17" t="s">
        <v>59</v>
      </c>
      <c r="J6" s="17" t="s">
        <v>60</v>
      </c>
      <c r="K6" s="17" t="s">
        <v>114</v>
      </c>
      <c r="L6" s="17" t="s">
        <v>154</v>
      </c>
      <c r="M6" s="17" t="s">
        <v>98</v>
      </c>
      <c r="N6" s="17" t="s">
        <v>107</v>
      </c>
      <c r="O6" s="17" t="s">
        <v>110</v>
      </c>
      <c r="P6" s="17" t="s">
        <v>66</v>
      </c>
      <c r="Q6" s="17" t="s">
        <v>79</v>
      </c>
      <c r="R6" s="17" t="s">
        <v>99</v>
      </c>
      <c r="S6" s="17" t="s">
        <v>69</v>
      </c>
      <c r="T6" s="17" t="s">
        <v>272</v>
      </c>
    </row>
    <row r="7" ht="22.5" customHeight="1">
      <c r="A7" s="16">
        <v>45736.40681314815</v>
      </c>
      <c r="B7" s="17" t="s">
        <v>147</v>
      </c>
      <c r="C7" s="17" t="s">
        <v>71</v>
      </c>
      <c r="D7" s="17" t="s">
        <v>54</v>
      </c>
      <c r="E7" s="17" t="s">
        <v>55</v>
      </c>
      <c r="F7" s="17" t="s">
        <v>56</v>
      </c>
      <c r="G7" s="17" t="s">
        <v>57</v>
      </c>
      <c r="H7" s="17" t="s">
        <v>92</v>
      </c>
      <c r="I7" s="17" t="s">
        <v>83</v>
      </c>
      <c r="J7" s="17" t="s">
        <v>76</v>
      </c>
      <c r="K7" s="17" t="s">
        <v>94</v>
      </c>
      <c r="L7" s="17" t="s">
        <v>85</v>
      </c>
      <c r="M7" s="17" t="s">
        <v>98</v>
      </c>
      <c r="N7" s="17" t="s">
        <v>107</v>
      </c>
      <c r="O7" s="17" t="s">
        <v>77</v>
      </c>
      <c r="P7" s="17" t="s">
        <v>89</v>
      </c>
      <c r="Q7" s="17" t="s">
        <v>67</v>
      </c>
      <c r="R7" s="17" t="s">
        <v>95</v>
      </c>
      <c r="S7" s="17" t="s">
        <v>148</v>
      </c>
      <c r="T7" s="17" t="s">
        <v>272</v>
      </c>
    </row>
    <row r="8" ht="22.5" customHeight="1">
      <c r="A8" s="16">
        <v>45736.40588748842</v>
      </c>
      <c r="B8" s="17" t="s">
        <v>213</v>
      </c>
      <c r="C8" s="17" t="s">
        <v>125</v>
      </c>
      <c r="D8" s="17" t="s">
        <v>109</v>
      </c>
      <c r="E8" s="17" t="s">
        <v>101</v>
      </c>
      <c r="F8" s="17" t="s">
        <v>74</v>
      </c>
      <c r="G8" s="17" t="s">
        <v>57</v>
      </c>
      <c r="H8" s="17" t="s">
        <v>92</v>
      </c>
      <c r="I8" s="17" t="s">
        <v>83</v>
      </c>
      <c r="J8" s="17" t="s">
        <v>60</v>
      </c>
      <c r="K8" s="17" t="s">
        <v>61</v>
      </c>
      <c r="L8" s="17" t="s">
        <v>85</v>
      </c>
      <c r="M8" s="17" t="s">
        <v>98</v>
      </c>
      <c r="N8" s="17" t="s">
        <v>138</v>
      </c>
      <c r="O8" s="17" t="s">
        <v>110</v>
      </c>
      <c r="P8" s="17" t="s">
        <v>117</v>
      </c>
      <c r="Q8" s="17" t="s">
        <v>129</v>
      </c>
      <c r="R8" s="17" t="s">
        <v>95</v>
      </c>
      <c r="S8" s="17" t="s">
        <v>69</v>
      </c>
      <c r="T8" s="17" t="s">
        <v>272</v>
      </c>
    </row>
    <row r="9" ht="22.5" customHeight="1">
      <c r="A9" s="16">
        <v>45736.40276002315</v>
      </c>
      <c r="B9" s="17" t="s">
        <v>245</v>
      </c>
      <c r="C9" s="17" t="s">
        <v>91</v>
      </c>
      <c r="D9" s="17" t="s">
        <v>109</v>
      </c>
      <c r="E9" s="17" t="s">
        <v>101</v>
      </c>
      <c r="F9" s="17" t="s">
        <v>74</v>
      </c>
      <c r="G9" s="17" t="s">
        <v>132</v>
      </c>
      <c r="H9" s="17" t="s">
        <v>92</v>
      </c>
      <c r="I9" s="17" t="s">
        <v>75</v>
      </c>
      <c r="J9" s="17" t="s">
        <v>126</v>
      </c>
      <c r="K9" s="17" t="s">
        <v>114</v>
      </c>
      <c r="L9" s="17" t="s">
        <v>154</v>
      </c>
      <c r="M9" s="17" t="s">
        <v>98</v>
      </c>
      <c r="N9" s="17" t="s">
        <v>107</v>
      </c>
      <c r="O9" s="17" t="s">
        <v>77</v>
      </c>
      <c r="P9" s="17" t="s">
        <v>89</v>
      </c>
      <c r="Q9" s="17" t="s">
        <v>129</v>
      </c>
      <c r="R9" s="17" t="s">
        <v>99</v>
      </c>
      <c r="S9" s="17" t="s">
        <v>69</v>
      </c>
      <c r="T9" s="17" t="s">
        <v>272</v>
      </c>
    </row>
    <row r="10" ht="22.5" customHeight="1">
      <c r="A10" s="16">
        <v>45736.40242525463</v>
      </c>
      <c r="B10" s="17" t="s">
        <v>162</v>
      </c>
      <c r="C10" s="17" t="s">
        <v>71</v>
      </c>
      <c r="D10" s="17" t="s">
        <v>81</v>
      </c>
      <c r="E10" s="17" t="s">
        <v>55</v>
      </c>
      <c r="F10" s="17" t="s">
        <v>97</v>
      </c>
      <c r="G10" s="17" t="s">
        <v>132</v>
      </c>
      <c r="H10" s="17" t="s">
        <v>82</v>
      </c>
      <c r="I10" s="17" t="s">
        <v>83</v>
      </c>
      <c r="J10" s="17" t="s">
        <v>76</v>
      </c>
      <c r="K10" s="17" t="s">
        <v>61</v>
      </c>
      <c r="L10" s="17" t="s">
        <v>123</v>
      </c>
      <c r="M10" s="17" t="s">
        <v>63</v>
      </c>
      <c r="N10" s="17" t="s">
        <v>87</v>
      </c>
      <c r="O10" s="17" t="s">
        <v>77</v>
      </c>
      <c r="P10" s="17" t="s">
        <v>89</v>
      </c>
      <c r="Q10" s="17" t="s">
        <v>105</v>
      </c>
      <c r="R10" s="17" t="s">
        <v>95</v>
      </c>
      <c r="S10" s="17" t="s">
        <v>69</v>
      </c>
      <c r="T10" s="17" t="s">
        <v>272</v>
      </c>
    </row>
    <row r="11" ht="22.5" customHeight="1">
      <c r="A11" s="16">
        <v>45736.39713525463</v>
      </c>
      <c r="B11" s="17" t="s">
        <v>209</v>
      </c>
      <c r="C11" s="17" t="s">
        <v>53</v>
      </c>
      <c r="D11" s="17" t="s">
        <v>81</v>
      </c>
      <c r="E11" s="17" t="s">
        <v>55</v>
      </c>
      <c r="F11" s="17" t="s">
        <v>97</v>
      </c>
      <c r="G11" s="17" t="s">
        <v>132</v>
      </c>
      <c r="H11" s="17" t="s">
        <v>58</v>
      </c>
      <c r="I11" s="17" t="s">
        <v>83</v>
      </c>
      <c r="J11" s="17" t="s">
        <v>60</v>
      </c>
      <c r="K11" s="17" t="s">
        <v>94</v>
      </c>
      <c r="L11" s="17" t="s">
        <v>154</v>
      </c>
      <c r="M11" s="17" t="s">
        <v>98</v>
      </c>
      <c r="N11" s="17" t="s">
        <v>107</v>
      </c>
      <c r="O11" s="17" t="s">
        <v>88</v>
      </c>
      <c r="P11" s="17" t="s">
        <v>66</v>
      </c>
      <c r="Q11" s="17" t="s">
        <v>105</v>
      </c>
      <c r="R11" s="17" t="s">
        <v>99</v>
      </c>
      <c r="S11" s="17" t="s">
        <v>69</v>
      </c>
      <c r="T11" s="17" t="s">
        <v>272</v>
      </c>
    </row>
    <row r="12" ht="22.5" customHeight="1">
      <c r="A12" s="16">
        <v>45736.39678094907</v>
      </c>
      <c r="B12" s="17" t="s">
        <v>242</v>
      </c>
      <c r="C12" s="17" t="s">
        <v>91</v>
      </c>
      <c r="D12" s="17" t="s">
        <v>54</v>
      </c>
      <c r="E12" s="17" t="s">
        <v>73</v>
      </c>
      <c r="F12" s="17" t="s">
        <v>56</v>
      </c>
      <c r="G12" s="17" t="s">
        <v>132</v>
      </c>
      <c r="H12" s="17" t="s">
        <v>113</v>
      </c>
      <c r="I12" s="17" t="s">
        <v>75</v>
      </c>
      <c r="J12" s="17" t="s">
        <v>188</v>
      </c>
      <c r="K12" s="17" t="s">
        <v>61</v>
      </c>
      <c r="L12" s="17" t="s">
        <v>85</v>
      </c>
      <c r="M12" s="17" t="s">
        <v>98</v>
      </c>
      <c r="N12" s="17" t="s">
        <v>107</v>
      </c>
      <c r="O12" s="17" t="s">
        <v>65</v>
      </c>
      <c r="P12" s="17" t="s">
        <v>78</v>
      </c>
      <c r="Q12" s="17" t="s">
        <v>67</v>
      </c>
      <c r="R12" s="17" t="s">
        <v>68</v>
      </c>
      <c r="S12" s="17" t="s">
        <v>69</v>
      </c>
      <c r="T12" s="17" t="s">
        <v>272</v>
      </c>
    </row>
    <row r="13" ht="22.5" customHeight="1">
      <c r="A13" s="16">
        <v>45736.39279295139</v>
      </c>
      <c r="B13" s="17" t="s">
        <v>236</v>
      </c>
      <c r="C13" s="17" t="s">
        <v>91</v>
      </c>
      <c r="D13" s="17" t="s">
        <v>109</v>
      </c>
      <c r="E13" s="17" t="s">
        <v>101</v>
      </c>
      <c r="F13" s="17" t="s">
        <v>56</v>
      </c>
      <c r="G13" s="17" t="s">
        <v>132</v>
      </c>
      <c r="H13" s="17" t="s">
        <v>58</v>
      </c>
      <c r="I13" s="17" t="s">
        <v>93</v>
      </c>
      <c r="J13" s="17" t="s">
        <v>60</v>
      </c>
      <c r="K13" s="17" t="s">
        <v>94</v>
      </c>
      <c r="L13" s="17" t="s">
        <v>154</v>
      </c>
      <c r="M13" s="17" t="s">
        <v>116</v>
      </c>
      <c r="N13" s="17" t="s">
        <v>138</v>
      </c>
      <c r="O13" s="17" t="s">
        <v>88</v>
      </c>
      <c r="P13" s="17" t="s">
        <v>66</v>
      </c>
      <c r="Q13" s="17" t="s">
        <v>129</v>
      </c>
      <c r="R13" s="17" t="s">
        <v>68</v>
      </c>
      <c r="S13" s="17" t="s">
        <v>69</v>
      </c>
      <c r="T13" s="17" t="s">
        <v>272</v>
      </c>
    </row>
    <row r="14" ht="22.5" customHeight="1">
      <c r="A14" s="16">
        <v>45736.38835010417</v>
      </c>
      <c r="B14" s="17" t="s">
        <v>189</v>
      </c>
      <c r="C14" s="17" t="s">
        <v>53</v>
      </c>
      <c r="D14" s="17" t="s">
        <v>81</v>
      </c>
      <c r="E14" s="17" t="s">
        <v>55</v>
      </c>
      <c r="F14" s="17" t="s">
        <v>56</v>
      </c>
      <c r="G14" s="17" t="s">
        <v>132</v>
      </c>
      <c r="H14" s="17" t="s">
        <v>58</v>
      </c>
      <c r="I14" s="17" t="s">
        <v>59</v>
      </c>
      <c r="J14" s="17" t="s">
        <v>60</v>
      </c>
      <c r="K14" s="17" t="s">
        <v>61</v>
      </c>
      <c r="L14" s="17" t="s">
        <v>123</v>
      </c>
      <c r="M14" s="17" t="s">
        <v>63</v>
      </c>
      <c r="N14" s="17" t="s">
        <v>107</v>
      </c>
      <c r="O14" s="17" t="s">
        <v>77</v>
      </c>
      <c r="P14" s="17" t="s">
        <v>78</v>
      </c>
      <c r="Q14" s="17" t="s">
        <v>67</v>
      </c>
      <c r="R14" s="17" t="s">
        <v>99</v>
      </c>
      <c r="S14" s="17" t="s">
        <v>69</v>
      </c>
      <c r="T14" s="17" t="s">
        <v>272</v>
      </c>
    </row>
    <row r="15" ht="22.5" customHeight="1">
      <c r="A15" s="16">
        <v>45736.38055223379</v>
      </c>
      <c r="B15" s="17" t="s">
        <v>198</v>
      </c>
      <c r="C15" s="17" t="s">
        <v>53</v>
      </c>
      <c r="D15" s="17" t="s">
        <v>54</v>
      </c>
      <c r="E15" s="17" t="s">
        <v>55</v>
      </c>
      <c r="F15" s="17" t="s">
        <v>142</v>
      </c>
      <c r="G15" s="17" t="s">
        <v>132</v>
      </c>
      <c r="H15" s="17" t="s">
        <v>82</v>
      </c>
      <c r="I15" s="17" t="s">
        <v>83</v>
      </c>
      <c r="J15" s="17" t="s">
        <v>76</v>
      </c>
      <c r="K15" s="17" t="s">
        <v>61</v>
      </c>
      <c r="L15" s="17" t="s">
        <v>154</v>
      </c>
      <c r="M15" s="17" t="s">
        <v>98</v>
      </c>
      <c r="N15" s="17" t="s">
        <v>64</v>
      </c>
      <c r="O15" s="17" t="s">
        <v>77</v>
      </c>
      <c r="P15" s="17" t="s">
        <v>89</v>
      </c>
      <c r="Q15" s="17" t="s">
        <v>79</v>
      </c>
      <c r="R15" s="17" t="s">
        <v>68</v>
      </c>
      <c r="S15" s="17" t="s">
        <v>69</v>
      </c>
      <c r="T15" s="17" t="s">
        <v>272</v>
      </c>
    </row>
    <row r="16" ht="22.5" customHeight="1">
      <c r="A16" s="16">
        <v>45736.377785185185</v>
      </c>
      <c r="B16" s="17" t="s">
        <v>133</v>
      </c>
      <c r="C16" s="17" t="s">
        <v>53</v>
      </c>
      <c r="D16" s="17" t="s">
        <v>81</v>
      </c>
      <c r="E16" s="17" t="s">
        <v>73</v>
      </c>
      <c r="F16" s="17" t="s">
        <v>97</v>
      </c>
      <c r="G16" s="17" t="s">
        <v>57</v>
      </c>
      <c r="H16" s="17" t="s">
        <v>92</v>
      </c>
      <c r="I16" s="17" t="s">
        <v>75</v>
      </c>
      <c r="J16" s="17" t="s">
        <v>76</v>
      </c>
      <c r="K16" s="17" t="s">
        <v>94</v>
      </c>
      <c r="L16" s="17" t="s">
        <v>62</v>
      </c>
      <c r="M16" s="17" t="s">
        <v>98</v>
      </c>
      <c r="N16" s="17" t="s">
        <v>87</v>
      </c>
      <c r="O16" s="17" t="s">
        <v>110</v>
      </c>
      <c r="P16" s="17" t="s">
        <v>89</v>
      </c>
      <c r="Q16" s="17" t="s">
        <v>129</v>
      </c>
      <c r="R16" s="17" t="s">
        <v>68</v>
      </c>
      <c r="S16" s="17" t="s">
        <v>69</v>
      </c>
      <c r="T16" s="17" t="s">
        <v>272</v>
      </c>
    </row>
    <row r="17" ht="22.5" customHeight="1">
      <c r="A17" s="16">
        <v>45736.36443861111</v>
      </c>
      <c r="B17" s="17" t="s">
        <v>229</v>
      </c>
      <c r="C17" s="17" t="s">
        <v>91</v>
      </c>
      <c r="D17" s="17" t="s">
        <v>72</v>
      </c>
      <c r="E17" s="17" t="s">
        <v>73</v>
      </c>
      <c r="F17" s="17" t="s">
        <v>142</v>
      </c>
      <c r="G17" s="17" t="s">
        <v>102</v>
      </c>
      <c r="H17" s="17" t="s">
        <v>92</v>
      </c>
      <c r="I17" s="17" t="s">
        <v>83</v>
      </c>
      <c r="J17" s="17" t="s">
        <v>188</v>
      </c>
      <c r="K17" s="17" t="s">
        <v>94</v>
      </c>
      <c r="L17" s="17" t="s">
        <v>123</v>
      </c>
      <c r="M17" s="17" t="s">
        <v>63</v>
      </c>
      <c r="N17" s="17" t="s">
        <v>64</v>
      </c>
      <c r="O17" s="17" t="s">
        <v>88</v>
      </c>
      <c r="P17" s="17" t="s">
        <v>78</v>
      </c>
      <c r="Q17" s="17" t="s">
        <v>67</v>
      </c>
      <c r="R17" s="17" t="s">
        <v>99</v>
      </c>
      <c r="S17" s="17" t="s">
        <v>119</v>
      </c>
      <c r="T17" s="17" t="s">
        <v>272</v>
      </c>
    </row>
    <row r="18" ht="22.5" customHeight="1">
      <c r="A18" s="16">
        <v>45736.35783657407</v>
      </c>
      <c r="B18" s="17" t="s">
        <v>100</v>
      </c>
      <c r="C18" s="17" t="s">
        <v>53</v>
      </c>
      <c r="D18" s="17" t="s">
        <v>81</v>
      </c>
      <c r="E18" s="17" t="s">
        <v>101</v>
      </c>
      <c r="F18" s="17" t="s">
        <v>56</v>
      </c>
      <c r="G18" s="17" t="s">
        <v>102</v>
      </c>
      <c r="H18" s="17" t="s">
        <v>58</v>
      </c>
      <c r="I18" s="17" t="s">
        <v>59</v>
      </c>
      <c r="J18" s="17" t="s">
        <v>76</v>
      </c>
      <c r="K18" s="17" t="s">
        <v>61</v>
      </c>
      <c r="L18" s="17" t="s">
        <v>62</v>
      </c>
      <c r="M18" s="17" t="s">
        <v>86</v>
      </c>
      <c r="N18" s="17" t="s">
        <v>87</v>
      </c>
      <c r="O18" s="17" t="s">
        <v>88</v>
      </c>
      <c r="P18" s="17" t="s">
        <v>78</v>
      </c>
      <c r="Q18" s="17" t="s">
        <v>79</v>
      </c>
      <c r="R18" s="17" t="s">
        <v>103</v>
      </c>
      <c r="S18" s="17" t="s">
        <v>69</v>
      </c>
      <c r="T18" s="17" t="s">
        <v>272</v>
      </c>
    </row>
    <row r="19" ht="22.5" customHeight="1">
      <c r="A19" s="16">
        <v>45736.357361585644</v>
      </c>
      <c r="B19" s="17" t="s">
        <v>243</v>
      </c>
      <c r="C19" s="17" t="s">
        <v>53</v>
      </c>
      <c r="D19" s="17" t="s">
        <v>72</v>
      </c>
      <c r="E19" s="17" t="s">
        <v>73</v>
      </c>
      <c r="F19" s="17" t="s">
        <v>97</v>
      </c>
      <c r="G19" s="17" t="s">
        <v>132</v>
      </c>
      <c r="H19" s="17" t="s">
        <v>113</v>
      </c>
      <c r="I19" s="17" t="s">
        <v>93</v>
      </c>
      <c r="J19" s="17" t="s">
        <v>76</v>
      </c>
      <c r="K19" s="17" t="s">
        <v>84</v>
      </c>
      <c r="L19" s="17" t="s">
        <v>123</v>
      </c>
      <c r="M19" s="17" t="s">
        <v>116</v>
      </c>
      <c r="N19" s="17" t="s">
        <v>138</v>
      </c>
      <c r="O19" s="17" t="s">
        <v>65</v>
      </c>
      <c r="P19" s="17" t="s">
        <v>78</v>
      </c>
      <c r="Q19" s="17" t="s">
        <v>67</v>
      </c>
      <c r="R19" s="17" t="s">
        <v>103</v>
      </c>
      <c r="S19" s="17" t="s">
        <v>69</v>
      </c>
      <c r="T19" s="17" t="s">
        <v>272</v>
      </c>
    </row>
    <row r="20" ht="22.5" customHeight="1">
      <c r="A20" s="16">
        <v>45736.353788113425</v>
      </c>
      <c r="B20" s="17" t="s">
        <v>52</v>
      </c>
      <c r="C20" s="17" t="s">
        <v>53</v>
      </c>
      <c r="D20" s="17" t="s">
        <v>54</v>
      </c>
      <c r="E20" s="17" t="s">
        <v>55</v>
      </c>
      <c r="F20" s="17" t="s">
        <v>56</v>
      </c>
      <c r="G20" s="17" t="s">
        <v>57</v>
      </c>
      <c r="H20" s="17" t="s">
        <v>58</v>
      </c>
      <c r="I20" s="17" t="s">
        <v>59</v>
      </c>
      <c r="J20" s="17" t="s">
        <v>60</v>
      </c>
      <c r="K20" s="17" t="s">
        <v>61</v>
      </c>
      <c r="L20" s="17" t="s">
        <v>62</v>
      </c>
      <c r="M20" s="17" t="s">
        <v>63</v>
      </c>
      <c r="N20" s="17" t="s">
        <v>64</v>
      </c>
      <c r="O20" s="17" t="s">
        <v>65</v>
      </c>
      <c r="P20" s="17" t="s">
        <v>66</v>
      </c>
      <c r="Q20" s="17" t="s">
        <v>67</v>
      </c>
      <c r="R20" s="17" t="s">
        <v>68</v>
      </c>
      <c r="S20" s="17" t="s">
        <v>69</v>
      </c>
      <c r="T20" s="17" t="s">
        <v>272</v>
      </c>
    </row>
    <row r="21" ht="22.5" customHeight="1">
      <c r="A21" s="16">
        <v>45736.35250353009</v>
      </c>
      <c r="B21" s="17" t="s">
        <v>183</v>
      </c>
      <c r="C21" s="17" t="s">
        <v>53</v>
      </c>
      <c r="D21" s="17" t="s">
        <v>81</v>
      </c>
      <c r="E21" s="17" t="s">
        <v>73</v>
      </c>
      <c r="F21" s="17" t="s">
        <v>142</v>
      </c>
      <c r="G21" s="17" t="s">
        <v>132</v>
      </c>
      <c r="H21" s="17" t="s">
        <v>113</v>
      </c>
      <c r="I21" s="17" t="s">
        <v>59</v>
      </c>
      <c r="J21" s="17" t="s">
        <v>76</v>
      </c>
      <c r="K21" s="17" t="s">
        <v>61</v>
      </c>
      <c r="L21" s="17" t="s">
        <v>62</v>
      </c>
      <c r="M21" s="17" t="s">
        <v>116</v>
      </c>
      <c r="N21" s="17" t="s">
        <v>64</v>
      </c>
      <c r="O21" s="17" t="s">
        <v>77</v>
      </c>
      <c r="P21" s="17" t="s">
        <v>117</v>
      </c>
      <c r="Q21" s="17" t="s">
        <v>67</v>
      </c>
      <c r="R21" s="17" t="s">
        <v>95</v>
      </c>
      <c r="S21" s="17" t="s">
        <v>69</v>
      </c>
      <c r="T21" s="17" t="s">
        <v>272</v>
      </c>
    </row>
    <row r="22" ht="22.5" customHeight="1">
      <c r="A22" s="16">
        <v>45736.350870821756</v>
      </c>
      <c r="B22" s="17" t="s">
        <v>115</v>
      </c>
      <c r="C22" s="17" t="s">
        <v>91</v>
      </c>
      <c r="D22" s="17" t="s">
        <v>54</v>
      </c>
      <c r="E22" s="17" t="s">
        <v>55</v>
      </c>
      <c r="F22" s="17" t="s">
        <v>97</v>
      </c>
      <c r="G22" s="17" t="s">
        <v>57</v>
      </c>
      <c r="H22" s="17" t="s">
        <v>92</v>
      </c>
      <c r="I22" s="17" t="s">
        <v>93</v>
      </c>
      <c r="J22" s="17" t="s">
        <v>76</v>
      </c>
      <c r="K22" s="17" t="s">
        <v>114</v>
      </c>
      <c r="L22" s="17" t="s">
        <v>62</v>
      </c>
      <c r="M22" s="17" t="s">
        <v>116</v>
      </c>
      <c r="N22" s="17" t="s">
        <v>64</v>
      </c>
      <c r="O22" s="17" t="s">
        <v>88</v>
      </c>
      <c r="P22" s="17" t="s">
        <v>117</v>
      </c>
      <c r="Q22" s="17" t="s">
        <v>105</v>
      </c>
      <c r="R22" s="17" t="s">
        <v>68</v>
      </c>
      <c r="S22" s="17" t="s">
        <v>69</v>
      </c>
      <c r="T22" s="17" t="s">
        <v>272</v>
      </c>
    </row>
    <row r="23" ht="22.5" customHeight="1">
      <c r="A23" s="16">
        <v>45736.343835231484</v>
      </c>
      <c r="B23" s="17" t="s">
        <v>216</v>
      </c>
      <c r="C23" s="17" t="s">
        <v>71</v>
      </c>
      <c r="D23" s="17" t="s">
        <v>54</v>
      </c>
      <c r="E23" s="17" t="s">
        <v>101</v>
      </c>
      <c r="F23" s="17" t="s">
        <v>142</v>
      </c>
      <c r="G23" s="17" t="s">
        <v>132</v>
      </c>
      <c r="H23" s="17" t="s">
        <v>113</v>
      </c>
      <c r="I23" s="17" t="s">
        <v>83</v>
      </c>
      <c r="J23" s="17" t="s">
        <v>76</v>
      </c>
      <c r="K23" s="17" t="s">
        <v>61</v>
      </c>
      <c r="L23" s="17" t="s">
        <v>85</v>
      </c>
      <c r="M23" s="17" t="s">
        <v>98</v>
      </c>
      <c r="N23" s="17" t="s">
        <v>64</v>
      </c>
      <c r="O23" s="17" t="s">
        <v>88</v>
      </c>
      <c r="P23" s="17" t="s">
        <v>89</v>
      </c>
      <c r="Q23" s="17" t="s">
        <v>79</v>
      </c>
      <c r="R23" s="17" t="s">
        <v>95</v>
      </c>
      <c r="S23" s="17" t="s">
        <v>69</v>
      </c>
      <c r="T23" s="17" t="s">
        <v>272</v>
      </c>
    </row>
    <row r="24" ht="22.5" customHeight="1">
      <c r="A24" s="16">
        <v>45736.34105307871</v>
      </c>
      <c r="B24" s="17" t="s">
        <v>178</v>
      </c>
      <c r="C24" s="17" t="s">
        <v>53</v>
      </c>
      <c r="D24" s="17" t="s">
        <v>109</v>
      </c>
      <c r="E24" s="17" t="s">
        <v>73</v>
      </c>
      <c r="F24" s="17" t="s">
        <v>97</v>
      </c>
      <c r="G24" s="17" t="s">
        <v>136</v>
      </c>
      <c r="H24" s="17" t="s">
        <v>82</v>
      </c>
      <c r="I24" s="17" t="s">
        <v>83</v>
      </c>
      <c r="J24" s="17" t="s">
        <v>60</v>
      </c>
      <c r="K24" s="17" t="s">
        <v>61</v>
      </c>
      <c r="L24" s="17" t="s">
        <v>85</v>
      </c>
      <c r="M24" s="17" t="s">
        <v>86</v>
      </c>
      <c r="N24" s="17" t="s">
        <v>87</v>
      </c>
      <c r="O24" s="17" t="s">
        <v>88</v>
      </c>
      <c r="P24" s="17" t="s">
        <v>89</v>
      </c>
      <c r="Q24" s="17" t="s">
        <v>105</v>
      </c>
      <c r="R24" s="17" t="s">
        <v>68</v>
      </c>
      <c r="S24" s="17" t="s">
        <v>69</v>
      </c>
      <c r="T24" s="17" t="s">
        <v>272</v>
      </c>
    </row>
    <row r="25" ht="22.5" customHeight="1">
      <c r="A25" s="16">
        <v>45736.33997813657</v>
      </c>
      <c r="B25" s="17" t="s">
        <v>179</v>
      </c>
      <c r="C25" s="17" t="s">
        <v>53</v>
      </c>
      <c r="D25" s="17" t="s">
        <v>54</v>
      </c>
      <c r="E25" s="17" t="s">
        <v>55</v>
      </c>
      <c r="F25" s="17" t="s">
        <v>97</v>
      </c>
      <c r="G25" s="17" t="s">
        <v>132</v>
      </c>
      <c r="H25" s="17" t="s">
        <v>92</v>
      </c>
      <c r="I25" s="17" t="s">
        <v>75</v>
      </c>
      <c r="J25" s="17" t="s">
        <v>60</v>
      </c>
      <c r="K25" s="17" t="s">
        <v>114</v>
      </c>
      <c r="L25" s="17" t="s">
        <v>62</v>
      </c>
      <c r="M25" s="17" t="s">
        <v>98</v>
      </c>
      <c r="N25" s="17" t="s">
        <v>64</v>
      </c>
      <c r="O25" s="17" t="s">
        <v>88</v>
      </c>
      <c r="P25" s="17" t="s">
        <v>66</v>
      </c>
      <c r="Q25" s="17" t="s">
        <v>67</v>
      </c>
      <c r="R25" s="17" t="s">
        <v>68</v>
      </c>
      <c r="S25" s="17" t="s">
        <v>69</v>
      </c>
      <c r="T25" s="17" t="s">
        <v>272</v>
      </c>
    </row>
    <row r="26" ht="22.5" customHeight="1">
      <c r="A26" s="16">
        <v>45736.33545612269</v>
      </c>
      <c r="B26" s="17" t="s">
        <v>96</v>
      </c>
      <c r="C26" s="17" t="s">
        <v>53</v>
      </c>
      <c r="D26" s="17" t="s">
        <v>54</v>
      </c>
      <c r="E26" s="17" t="s">
        <v>55</v>
      </c>
      <c r="F26" s="17" t="s">
        <v>97</v>
      </c>
      <c r="G26" s="17" t="s">
        <v>57</v>
      </c>
      <c r="H26" s="17" t="s">
        <v>82</v>
      </c>
      <c r="I26" s="17" t="s">
        <v>75</v>
      </c>
      <c r="J26" s="17" t="s">
        <v>76</v>
      </c>
      <c r="K26" s="17" t="s">
        <v>61</v>
      </c>
      <c r="L26" s="17" t="s">
        <v>62</v>
      </c>
      <c r="M26" s="17" t="s">
        <v>98</v>
      </c>
      <c r="N26" s="17" t="s">
        <v>64</v>
      </c>
      <c r="O26" s="17" t="s">
        <v>77</v>
      </c>
      <c r="P26" s="17" t="s">
        <v>78</v>
      </c>
      <c r="Q26" s="17" t="s">
        <v>79</v>
      </c>
      <c r="R26" s="17" t="s">
        <v>99</v>
      </c>
      <c r="S26" s="17" t="s">
        <v>69</v>
      </c>
      <c r="T26" s="17" t="s">
        <v>272</v>
      </c>
    </row>
    <row r="27" ht="22.5" customHeight="1">
      <c r="A27" s="16">
        <v>45736.334225914354</v>
      </c>
      <c r="B27" s="17" t="s">
        <v>241</v>
      </c>
      <c r="C27" s="17" t="s">
        <v>91</v>
      </c>
      <c r="D27" s="17" t="s">
        <v>54</v>
      </c>
      <c r="E27" s="17" t="s">
        <v>101</v>
      </c>
      <c r="F27" s="17" t="s">
        <v>56</v>
      </c>
      <c r="G27" s="17" t="s">
        <v>136</v>
      </c>
      <c r="H27" s="17" t="s">
        <v>113</v>
      </c>
      <c r="I27" s="17" t="s">
        <v>93</v>
      </c>
      <c r="J27" s="17" t="s">
        <v>76</v>
      </c>
      <c r="K27" s="17" t="s">
        <v>61</v>
      </c>
      <c r="L27" s="17" t="s">
        <v>123</v>
      </c>
      <c r="M27" s="17" t="s">
        <v>63</v>
      </c>
      <c r="N27" s="17" t="s">
        <v>107</v>
      </c>
      <c r="O27" s="17" t="s">
        <v>77</v>
      </c>
      <c r="P27" s="17" t="s">
        <v>117</v>
      </c>
      <c r="Q27" s="17" t="s">
        <v>105</v>
      </c>
      <c r="R27" s="17" t="s">
        <v>95</v>
      </c>
      <c r="S27" s="17" t="s">
        <v>69</v>
      </c>
      <c r="T27" s="17" t="s">
        <v>272</v>
      </c>
    </row>
    <row r="28" ht="22.5" customHeight="1">
      <c r="A28" s="16">
        <v>45736.32677409722</v>
      </c>
      <c r="B28" s="17" t="s">
        <v>176</v>
      </c>
      <c r="C28" s="17" t="s">
        <v>91</v>
      </c>
      <c r="D28" s="17" t="s">
        <v>81</v>
      </c>
      <c r="E28" s="17" t="s">
        <v>73</v>
      </c>
      <c r="F28" s="17" t="s">
        <v>56</v>
      </c>
      <c r="G28" s="17" t="s">
        <v>132</v>
      </c>
      <c r="H28" s="17" t="s">
        <v>92</v>
      </c>
      <c r="I28" s="17" t="s">
        <v>59</v>
      </c>
      <c r="J28" s="17" t="s">
        <v>60</v>
      </c>
      <c r="K28" s="17" t="s">
        <v>84</v>
      </c>
      <c r="L28" s="17" t="s">
        <v>62</v>
      </c>
      <c r="M28" s="17" t="s">
        <v>98</v>
      </c>
      <c r="N28" s="17" t="s">
        <v>64</v>
      </c>
      <c r="O28" s="17" t="s">
        <v>110</v>
      </c>
      <c r="P28" s="17" t="s">
        <v>117</v>
      </c>
      <c r="Q28" s="17" t="s">
        <v>105</v>
      </c>
      <c r="R28" s="17" t="s">
        <v>68</v>
      </c>
      <c r="S28" s="17" t="s">
        <v>69</v>
      </c>
      <c r="T28" s="17" t="s">
        <v>272</v>
      </c>
    </row>
    <row r="29" ht="22.5" customHeight="1">
      <c r="A29" s="16">
        <v>45736.31813219907</v>
      </c>
      <c r="B29" s="17" t="s">
        <v>227</v>
      </c>
      <c r="C29" s="17" t="s">
        <v>53</v>
      </c>
      <c r="D29" s="17" t="s">
        <v>109</v>
      </c>
      <c r="E29" s="17" t="s">
        <v>101</v>
      </c>
      <c r="F29" s="17" t="s">
        <v>56</v>
      </c>
      <c r="G29" s="17" t="s">
        <v>57</v>
      </c>
      <c r="H29" s="17" t="s">
        <v>82</v>
      </c>
      <c r="I29" s="17" t="s">
        <v>93</v>
      </c>
      <c r="J29" s="17" t="s">
        <v>76</v>
      </c>
      <c r="K29" s="17" t="s">
        <v>114</v>
      </c>
      <c r="L29" s="17" t="s">
        <v>154</v>
      </c>
      <c r="M29" s="17" t="s">
        <v>98</v>
      </c>
      <c r="N29" s="17" t="s">
        <v>107</v>
      </c>
      <c r="O29" s="17" t="s">
        <v>88</v>
      </c>
      <c r="P29" s="17" t="s">
        <v>66</v>
      </c>
      <c r="Q29" s="17" t="s">
        <v>129</v>
      </c>
      <c r="R29" s="17" t="s">
        <v>99</v>
      </c>
      <c r="S29" s="17" t="s">
        <v>148</v>
      </c>
      <c r="T29" s="17" t="s">
        <v>272</v>
      </c>
    </row>
    <row r="30" ht="22.5" customHeight="1">
      <c r="A30" s="16">
        <v>45736.3152059375</v>
      </c>
      <c r="B30" s="17" t="s">
        <v>165</v>
      </c>
      <c r="C30" s="17" t="s">
        <v>91</v>
      </c>
      <c r="D30" s="17" t="s">
        <v>81</v>
      </c>
      <c r="E30" s="17" t="s">
        <v>101</v>
      </c>
      <c r="F30" s="17" t="s">
        <v>56</v>
      </c>
      <c r="G30" s="17" t="s">
        <v>136</v>
      </c>
      <c r="H30" s="17" t="s">
        <v>92</v>
      </c>
      <c r="I30" s="17" t="s">
        <v>93</v>
      </c>
      <c r="J30" s="17" t="s">
        <v>76</v>
      </c>
      <c r="K30" s="17" t="s">
        <v>84</v>
      </c>
      <c r="L30" s="17" t="s">
        <v>62</v>
      </c>
      <c r="M30" s="17" t="s">
        <v>86</v>
      </c>
      <c r="N30" s="17" t="s">
        <v>64</v>
      </c>
      <c r="O30" s="17" t="s">
        <v>88</v>
      </c>
      <c r="P30" s="17" t="s">
        <v>117</v>
      </c>
      <c r="Q30" s="17" t="s">
        <v>79</v>
      </c>
      <c r="R30" s="17" t="s">
        <v>95</v>
      </c>
      <c r="S30" s="17" t="s">
        <v>119</v>
      </c>
      <c r="T30" s="17" t="s">
        <v>272</v>
      </c>
    </row>
    <row r="31" ht="22.5" customHeight="1">
      <c r="A31" s="16">
        <v>45736.311221446755</v>
      </c>
      <c r="B31" s="17" t="s">
        <v>204</v>
      </c>
      <c r="C31" s="17" t="s">
        <v>53</v>
      </c>
      <c r="D31" s="17" t="s">
        <v>109</v>
      </c>
      <c r="E31" s="17" t="s">
        <v>73</v>
      </c>
      <c r="F31" s="17" t="s">
        <v>56</v>
      </c>
      <c r="G31" s="17" t="s">
        <v>132</v>
      </c>
      <c r="H31" s="17" t="s">
        <v>82</v>
      </c>
      <c r="I31" s="17" t="s">
        <v>75</v>
      </c>
      <c r="J31" s="17" t="s">
        <v>60</v>
      </c>
      <c r="K31" s="17" t="s">
        <v>61</v>
      </c>
      <c r="L31" s="17" t="s">
        <v>62</v>
      </c>
      <c r="M31" s="17" t="s">
        <v>63</v>
      </c>
      <c r="N31" s="17" t="s">
        <v>107</v>
      </c>
      <c r="O31" s="17" t="s">
        <v>77</v>
      </c>
      <c r="P31" s="17" t="s">
        <v>78</v>
      </c>
      <c r="Q31" s="17" t="s">
        <v>129</v>
      </c>
      <c r="R31" s="17" t="s">
        <v>95</v>
      </c>
      <c r="S31" s="17" t="s">
        <v>69</v>
      </c>
      <c r="T31" s="17" t="s">
        <v>272</v>
      </c>
    </row>
    <row r="32" ht="22.5" customHeight="1">
      <c r="A32" s="16">
        <v>45736.29851099537</v>
      </c>
      <c r="B32" s="17" t="s">
        <v>226</v>
      </c>
      <c r="C32" s="17" t="s">
        <v>91</v>
      </c>
      <c r="D32" s="17" t="s">
        <v>109</v>
      </c>
      <c r="E32" s="17" t="s">
        <v>55</v>
      </c>
      <c r="F32" s="17" t="s">
        <v>97</v>
      </c>
      <c r="G32" s="17" t="s">
        <v>132</v>
      </c>
      <c r="H32" s="17" t="s">
        <v>58</v>
      </c>
      <c r="I32" s="17" t="s">
        <v>83</v>
      </c>
      <c r="J32" s="17" t="s">
        <v>60</v>
      </c>
      <c r="K32" s="17" t="s">
        <v>114</v>
      </c>
      <c r="L32" s="17" t="s">
        <v>154</v>
      </c>
      <c r="M32" s="17" t="s">
        <v>86</v>
      </c>
      <c r="N32" s="17" t="s">
        <v>107</v>
      </c>
      <c r="O32" s="17" t="s">
        <v>88</v>
      </c>
      <c r="P32" s="17" t="s">
        <v>117</v>
      </c>
      <c r="Q32" s="17" t="s">
        <v>129</v>
      </c>
      <c r="R32" s="17" t="s">
        <v>103</v>
      </c>
      <c r="S32" s="17" t="s">
        <v>69</v>
      </c>
      <c r="T32" s="17" t="s">
        <v>272</v>
      </c>
    </row>
    <row r="33" ht="22.5" customHeight="1">
      <c r="A33" s="16">
        <v>45736.2977974074</v>
      </c>
      <c r="B33" s="17" t="s">
        <v>141</v>
      </c>
      <c r="C33" s="17" t="s">
        <v>125</v>
      </c>
      <c r="D33" s="17" t="s">
        <v>72</v>
      </c>
      <c r="E33" s="17" t="s">
        <v>55</v>
      </c>
      <c r="F33" s="17" t="s">
        <v>142</v>
      </c>
      <c r="G33" s="17" t="s">
        <v>136</v>
      </c>
      <c r="H33" s="17" t="s">
        <v>58</v>
      </c>
      <c r="I33" s="17" t="s">
        <v>83</v>
      </c>
      <c r="J33" s="17" t="s">
        <v>76</v>
      </c>
      <c r="K33" s="17" t="s">
        <v>94</v>
      </c>
      <c r="L33" s="17" t="s">
        <v>62</v>
      </c>
      <c r="M33" s="17" t="s">
        <v>116</v>
      </c>
      <c r="N33" s="17" t="s">
        <v>87</v>
      </c>
      <c r="O33" s="17" t="s">
        <v>88</v>
      </c>
      <c r="P33" s="17" t="s">
        <v>89</v>
      </c>
      <c r="Q33" s="17" t="s">
        <v>129</v>
      </c>
      <c r="R33" s="17" t="s">
        <v>68</v>
      </c>
      <c r="S33" s="17" t="s">
        <v>69</v>
      </c>
      <c r="T33" s="17" t="s">
        <v>272</v>
      </c>
    </row>
    <row r="34" ht="22.5" customHeight="1">
      <c r="A34" s="16">
        <v>45736.29275392361</v>
      </c>
      <c r="B34" s="17" t="s">
        <v>197</v>
      </c>
      <c r="C34" s="17" t="s">
        <v>53</v>
      </c>
      <c r="D34" s="17" t="s">
        <v>81</v>
      </c>
      <c r="E34" s="17" t="s">
        <v>101</v>
      </c>
      <c r="F34" s="17" t="s">
        <v>97</v>
      </c>
      <c r="G34" s="17" t="s">
        <v>57</v>
      </c>
      <c r="H34" s="17" t="s">
        <v>92</v>
      </c>
      <c r="I34" s="17" t="s">
        <v>75</v>
      </c>
      <c r="J34" s="17" t="s">
        <v>76</v>
      </c>
      <c r="K34" s="17" t="s">
        <v>61</v>
      </c>
      <c r="L34" s="17" t="s">
        <v>85</v>
      </c>
      <c r="M34" s="17" t="s">
        <v>63</v>
      </c>
      <c r="N34" s="17" t="s">
        <v>107</v>
      </c>
      <c r="O34" s="17" t="s">
        <v>88</v>
      </c>
      <c r="P34" s="17" t="s">
        <v>78</v>
      </c>
      <c r="Q34" s="17" t="s">
        <v>105</v>
      </c>
      <c r="R34" s="17" t="s">
        <v>99</v>
      </c>
      <c r="S34" s="17" t="s">
        <v>69</v>
      </c>
      <c r="T34" s="17" t="s">
        <v>272</v>
      </c>
    </row>
    <row r="35" ht="22.5" customHeight="1">
      <c r="A35" s="16">
        <v>45736.2673675463</v>
      </c>
      <c r="B35" s="17" t="s">
        <v>225</v>
      </c>
      <c r="C35" s="17" t="s">
        <v>125</v>
      </c>
      <c r="D35" s="17" t="s">
        <v>109</v>
      </c>
      <c r="E35" s="17" t="s">
        <v>121</v>
      </c>
      <c r="F35" s="17" t="s">
        <v>142</v>
      </c>
      <c r="G35" s="17" t="s">
        <v>57</v>
      </c>
      <c r="H35" s="17" t="s">
        <v>92</v>
      </c>
      <c r="I35" s="17" t="s">
        <v>75</v>
      </c>
      <c r="J35" s="17" t="s">
        <v>76</v>
      </c>
      <c r="K35" s="17" t="s">
        <v>61</v>
      </c>
      <c r="L35" s="17" t="s">
        <v>85</v>
      </c>
      <c r="M35" s="17" t="s">
        <v>98</v>
      </c>
      <c r="N35" s="17" t="s">
        <v>107</v>
      </c>
      <c r="O35" s="17" t="s">
        <v>88</v>
      </c>
      <c r="P35" s="17" t="s">
        <v>78</v>
      </c>
      <c r="Q35" s="17" t="s">
        <v>79</v>
      </c>
      <c r="R35" s="17" t="s">
        <v>99</v>
      </c>
      <c r="S35" s="17" t="s">
        <v>69</v>
      </c>
      <c r="T35" s="17" t="s">
        <v>272</v>
      </c>
    </row>
    <row r="36" ht="22.5" customHeight="1">
      <c r="A36" s="16">
        <v>45736.26506828704</v>
      </c>
      <c r="B36" s="17" t="s">
        <v>225</v>
      </c>
      <c r="C36" s="17" t="s">
        <v>91</v>
      </c>
      <c r="D36" s="17" t="s">
        <v>81</v>
      </c>
      <c r="E36" s="17" t="s">
        <v>121</v>
      </c>
      <c r="F36" s="17" t="s">
        <v>142</v>
      </c>
      <c r="G36" s="17" t="s">
        <v>57</v>
      </c>
      <c r="H36" s="17" t="s">
        <v>92</v>
      </c>
      <c r="I36" s="17" t="s">
        <v>75</v>
      </c>
      <c r="J36" s="17" t="s">
        <v>126</v>
      </c>
      <c r="K36" s="17" t="s">
        <v>61</v>
      </c>
      <c r="L36" s="17" t="s">
        <v>85</v>
      </c>
      <c r="M36" s="17" t="s">
        <v>98</v>
      </c>
      <c r="N36" s="17" t="s">
        <v>107</v>
      </c>
      <c r="O36" s="17" t="s">
        <v>88</v>
      </c>
      <c r="P36" s="17" t="s">
        <v>78</v>
      </c>
      <c r="Q36" s="17" t="s">
        <v>79</v>
      </c>
      <c r="R36" s="17" t="s">
        <v>99</v>
      </c>
      <c r="S36" s="17" t="s">
        <v>69</v>
      </c>
      <c r="T36" s="17" t="s">
        <v>272</v>
      </c>
    </row>
    <row r="37" ht="22.5" customHeight="1">
      <c r="A37" s="16">
        <v>45736.0764737037</v>
      </c>
      <c r="B37" s="17" t="s">
        <v>191</v>
      </c>
      <c r="C37" s="17" t="s">
        <v>53</v>
      </c>
      <c r="D37" s="17" t="s">
        <v>54</v>
      </c>
      <c r="E37" s="17" t="s">
        <v>121</v>
      </c>
      <c r="F37" s="17" t="s">
        <v>56</v>
      </c>
      <c r="G37" s="17" t="s">
        <v>136</v>
      </c>
      <c r="H37" s="17" t="s">
        <v>58</v>
      </c>
      <c r="I37" s="17" t="s">
        <v>59</v>
      </c>
      <c r="J37" s="17" t="s">
        <v>60</v>
      </c>
      <c r="K37" s="17" t="s">
        <v>61</v>
      </c>
      <c r="L37" s="17" t="s">
        <v>123</v>
      </c>
      <c r="M37" s="17" t="s">
        <v>63</v>
      </c>
      <c r="N37" s="17" t="s">
        <v>87</v>
      </c>
      <c r="O37" s="17" t="s">
        <v>88</v>
      </c>
      <c r="P37" s="17" t="s">
        <v>117</v>
      </c>
      <c r="Q37" s="17" t="s">
        <v>67</v>
      </c>
      <c r="R37" s="17" t="s">
        <v>95</v>
      </c>
      <c r="S37" s="17" t="s">
        <v>69</v>
      </c>
      <c r="T37" s="17" t="s">
        <v>272</v>
      </c>
    </row>
    <row r="38" ht="22.5" customHeight="1">
      <c r="A38" s="16">
        <v>45736.04961096065</v>
      </c>
      <c r="B38" s="17" t="s">
        <v>221</v>
      </c>
      <c r="C38" s="17" t="s">
        <v>53</v>
      </c>
      <c r="D38" s="17" t="s">
        <v>72</v>
      </c>
      <c r="E38" s="17" t="s">
        <v>121</v>
      </c>
      <c r="F38" s="17" t="s">
        <v>56</v>
      </c>
      <c r="G38" s="17" t="s">
        <v>132</v>
      </c>
      <c r="H38" s="17" t="s">
        <v>92</v>
      </c>
      <c r="I38" s="17" t="s">
        <v>75</v>
      </c>
      <c r="J38" s="17" t="s">
        <v>60</v>
      </c>
      <c r="K38" s="17" t="s">
        <v>114</v>
      </c>
      <c r="L38" s="17" t="s">
        <v>123</v>
      </c>
      <c r="M38" s="17" t="s">
        <v>86</v>
      </c>
      <c r="N38" s="17" t="s">
        <v>64</v>
      </c>
      <c r="O38" s="17" t="s">
        <v>65</v>
      </c>
      <c r="P38" s="17" t="s">
        <v>66</v>
      </c>
      <c r="Q38" s="17" t="s">
        <v>105</v>
      </c>
      <c r="R38" s="17" t="s">
        <v>95</v>
      </c>
      <c r="S38" s="17" t="s">
        <v>69</v>
      </c>
      <c r="T38" s="17" t="s">
        <v>272</v>
      </c>
    </row>
    <row r="39" ht="22.5" customHeight="1">
      <c r="A39" s="16">
        <v>45736.00550648148</v>
      </c>
      <c r="B39" s="17" t="s">
        <v>163</v>
      </c>
      <c r="C39" s="17" t="s">
        <v>71</v>
      </c>
      <c r="D39" s="17" t="s">
        <v>81</v>
      </c>
      <c r="E39" s="17" t="s">
        <v>73</v>
      </c>
      <c r="F39" s="17" t="s">
        <v>74</v>
      </c>
      <c r="G39" s="17" t="s">
        <v>57</v>
      </c>
      <c r="H39" s="17" t="s">
        <v>82</v>
      </c>
      <c r="I39" s="17" t="s">
        <v>75</v>
      </c>
      <c r="J39" s="17" t="s">
        <v>126</v>
      </c>
      <c r="K39" s="17" t="s">
        <v>94</v>
      </c>
      <c r="L39" s="17" t="s">
        <v>123</v>
      </c>
      <c r="M39" s="17" t="s">
        <v>63</v>
      </c>
      <c r="N39" s="17" t="s">
        <v>64</v>
      </c>
      <c r="O39" s="17" t="s">
        <v>110</v>
      </c>
      <c r="P39" s="17" t="s">
        <v>66</v>
      </c>
      <c r="Q39" s="17" t="s">
        <v>105</v>
      </c>
      <c r="R39" s="17" t="s">
        <v>103</v>
      </c>
      <c r="S39" s="17" t="s">
        <v>69</v>
      </c>
      <c r="T39" s="17" t="s">
        <v>272</v>
      </c>
    </row>
    <row r="40" ht="22.5" customHeight="1">
      <c r="A40" s="16">
        <v>45736.00400585648</v>
      </c>
      <c r="B40" s="17" t="s">
        <v>155</v>
      </c>
      <c r="C40" s="17" t="s">
        <v>125</v>
      </c>
      <c r="D40" s="17" t="s">
        <v>109</v>
      </c>
      <c r="E40" s="17" t="s">
        <v>55</v>
      </c>
      <c r="F40" s="17" t="s">
        <v>97</v>
      </c>
      <c r="G40" s="17" t="s">
        <v>136</v>
      </c>
      <c r="H40" s="17" t="s">
        <v>58</v>
      </c>
      <c r="I40" s="17" t="s">
        <v>75</v>
      </c>
      <c r="J40" s="17" t="s">
        <v>76</v>
      </c>
      <c r="K40" s="17" t="s">
        <v>61</v>
      </c>
      <c r="L40" s="17" t="s">
        <v>62</v>
      </c>
      <c r="M40" s="17" t="s">
        <v>63</v>
      </c>
      <c r="N40" s="17" t="s">
        <v>87</v>
      </c>
      <c r="O40" s="17" t="s">
        <v>110</v>
      </c>
      <c r="P40" s="17" t="s">
        <v>117</v>
      </c>
      <c r="Q40" s="17" t="s">
        <v>105</v>
      </c>
      <c r="R40" s="17" t="s">
        <v>68</v>
      </c>
      <c r="S40" s="17" t="s">
        <v>69</v>
      </c>
      <c r="T40" s="17" t="s">
        <v>272</v>
      </c>
    </row>
    <row r="41" ht="22.5" customHeight="1">
      <c r="A41" s="16">
        <v>45735.99826862269</v>
      </c>
      <c r="B41" s="17" t="s">
        <v>112</v>
      </c>
      <c r="C41" s="17" t="s">
        <v>71</v>
      </c>
      <c r="D41" s="17" t="s">
        <v>81</v>
      </c>
      <c r="E41" s="17" t="s">
        <v>101</v>
      </c>
      <c r="F41" s="17" t="s">
        <v>56</v>
      </c>
      <c r="G41" s="17" t="s">
        <v>57</v>
      </c>
      <c r="H41" s="17" t="s">
        <v>113</v>
      </c>
      <c r="I41" s="17" t="s">
        <v>59</v>
      </c>
      <c r="J41" s="17" t="s">
        <v>76</v>
      </c>
      <c r="K41" s="17" t="s">
        <v>114</v>
      </c>
      <c r="L41" s="17" t="s">
        <v>62</v>
      </c>
      <c r="M41" s="17" t="s">
        <v>86</v>
      </c>
      <c r="N41" s="17" t="s">
        <v>64</v>
      </c>
      <c r="O41" s="17" t="s">
        <v>88</v>
      </c>
      <c r="P41" s="17" t="s">
        <v>89</v>
      </c>
      <c r="Q41" s="17" t="s">
        <v>79</v>
      </c>
      <c r="R41" s="17" t="s">
        <v>99</v>
      </c>
      <c r="S41" s="17" t="s">
        <v>69</v>
      </c>
      <c r="T41" s="17" t="s">
        <v>272</v>
      </c>
    </row>
    <row r="42" ht="22.5" customHeight="1">
      <c r="A42" s="16">
        <v>45735.99597069444</v>
      </c>
      <c r="B42" s="17" t="s">
        <v>200</v>
      </c>
      <c r="C42" s="17" t="s">
        <v>125</v>
      </c>
      <c r="D42" s="17" t="s">
        <v>81</v>
      </c>
      <c r="E42" s="17" t="s">
        <v>101</v>
      </c>
      <c r="F42" s="17" t="s">
        <v>97</v>
      </c>
      <c r="G42" s="17" t="s">
        <v>136</v>
      </c>
      <c r="H42" s="17" t="s">
        <v>92</v>
      </c>
      <c r="I42" s="17" t="s">
        <v>93</v>
      </c>
      <c r="J42" s="17" t="s">
        <v>60</v>
      </c>
      <c r="K42" s="17" t="s">
        <v>94</v>
      </c>
      <c r="L42" s="17" t="s">
        <v>123</v>
      </c>
      <c r="M42" s="17" t="s">
        <v>86</v>
      </c>
      <c r="N42" s="17" t="s">
        <v>107</v>
      </c>
      <c r="O42" s="17" t="s">
        <v>88</v>
      </c>
      <c r="P42" s="17" t="s">
        <v>78</v>
      </c>
      <c r="Q42" s="17" t="s">
        <v>67</v>
      </c>
      <c r="R42" s="17" t="s">
        <v>99</v>
      </c>
      <c r="S42" s="17" t="s">
        <v>69</v>
      </c>
      <c r="T42" s="17" t="s">
        <v>272</v>
      </c>
    </row>
    <row r="43" ht="22.5" customHeight="1">
      <c r="A43" s="16">
        <v>45735.99464611111</v>
      </c>
      <c r="B43" s="17" t="s">
        <v>137</v>
      </c>
      <c r="C43" s="17" t="s">
        <v>91</v>
      </c>
      <c r="D43" s="17" t="s">
        <v>54</v>
      </c>
      <c r="E43" s="17" t="s">
        <v>55</v>
      </c>
      <c r="F43" s="17" t="s">
        <v>56</v>
      </c>
      <c r="G43" s="17" t="s">
        <v>132</v>
      </c>
      <c r="H43" s="17" t="s">
        <v>58</v>
      </c>
      <c r="I43" s="17" t="s">
        <v>75</v>
      </c>
      <c r="J43" s="17" t="s">
        <v>60</v>
      </c>
      <c r="K43" s="17" t="s">
        <v>61</v>
      </c>
      <c r="L43" s="17" t="s">
        <v>62</v>
      </c>
      <c r="M43" s="17" t="s">
        <v>86</v>
      </c>
      <c r="N43" s="17" t="s">
        <v>138</v>
      </c>
      <c r="O43" s="17" t="s">
        <v>88</v>
      </c>
      <c r="P43" s="17" t="s">
        <v>89</v>
      </c>
      <c r="Q43" s="17" t="s">
        <v>105</v>
      </c>
      <c r="R43" s="17" t="s">
        <v>95</v>
      </c>
      <c r="S43" s="17" t="s">
        <v>69</v>
      </c>
      <c r="T43" s="17" t="s">
        <v>272</v>
      </c>
    </row>
    <row r="44" ht="22.5" customHeight="1">
      <c r="A44" s="16">
        <v>45735.92216015046</v>
      </c>
      <c r="B44" s="17" t="s">
        <v>130</v>
      </c>
      <c r="C44" s="17" t="s">
        <v>53</v>
      </c>
      <c r="D44" s="17" t="s">
        <v>72</v>
      </c>
      <c r="E44" s="17" t="s">
        <v>101</v>
      </c>
      <c r="F44" s="17" t="s">
        <v>56</v>
      </c>
      <c r="G44" s="17" t="s">
        <v>57</v>
      </c>
      <c r="H44" s="17" t="s">
        <v>58</v>
      </c>
      <c r="I44" s="17" t="s">
        <v>75</v>
      </c>
      <c r="J44" s="17" t="s">
        <v>76</v>
      </c>
      <c r="K44" s="17" t="s">
        <v>61</v>
      </c>
      <c r="L44" s="17" t="s">
        <v>62</v>
      </c>
      <c r="M44" s="17" t="s">
        <v>86</v>
      </c>
      <c r="N44" s="17" t="s">
        <v>107</v>
      </c>
      <c r="O44" s="17" t="s">
        <v>88</v>
      </c>
      <c r="P44" s="17" t="s">
        <v>117</v>
      </c>
      <c r="Q44" s="17" t="s">
        <v>105</v>
      </c>
      <c r="R44" s="17" t="s">
        <v>68</v>
      </c>
      <c r="S44" s="17" t="s">
        <v>69</v>
      </c>
      <c r="T44" s="17" t="s">
        <v>272</v>
      </c>
    </row>
    <row r="45" ht="22.5" customHeight="1">
      <c r="A45" s="16">
        <v>45735.9036946875</v>
      </c>
      <c r="B45" s="17" t="s">
        <v>131</v>
      </c>
      <c r="C45" s="17" t="s">
        <v>71</v>
      </c>
      <c r="D45" s="17" t="s">
        <v>109</v>
      </c>
      <c r="E45" s="17" t="s">
        <v>55</v>
      </c>
      <c r="F45" s="17" t="s">
        <v>56</v>
      </c>
      <c r="G45" s="17" t="s">
        <v>132</v>
      </c>
      <c r="H45" s="17" t="s">
        <v>82</v>
      </c>
      <c r="I45" s="17" t="s">
        <v>75</v>
      </c>
      <c r="J45" s="17" t="s">
        <v>76</v>
      </c>
      <c r="K45" s="17" t="s">
        <v>61</v>
      </c>
      <c r="L45" s="17" t="s">
        <v>85</v>
      </c>
      <c r="M45" s="17" t="s">
        <v>98</v>
      </c>
      <c r="N45" s="17" t="s">
        <v>64</v>
      </c>
      <c r="O45" s="17" t="s">
        <v>88</v>
      </c>
      <c r="P45" s="17" t="s">
        <v>89</v>
      </c>
      <c r="Q45" s="17" t="s">
        <v>79</v>
      </c>
      <c r="R45" s="17" t="s">
        <v>95</v>
      </c>
      <c r="S45" s="17" t="s">
        <v>69</v>
      </c>
      <c r="T45" s="17" t="s">
        <v>272</v>
      </c>
    </row>
    <row r="46" ht="22.5" customHeight="1">
      <c r="A46" s="16">
        <v>45735.90191703704</v>
      </c>
      <c r="B46" s="17" t="s">
        <v>153</v>
      </c>
      <c r="C46" s="17" t="s">
        <v>71</v>
      </c>
      <c r="D46" s="17" t="s">
        <v>54</v>
      </c>
      <c r="E46" s="17" t="s">
        <v>55</v>
      </c>
      <c r="F46" s="17" t="s">
        <v>142</v>
      </c>
      <c r="G46" s="17" t="s">
        <v>132</v>
      </c>
      <c r="H46" s="17" t="s">
        <v>82</v>
      </c>
      <c r="I46" s="17" t="s">
        <v>83</v>
      </c>
      <c r="J46" s="17" t="s">
        <v>76</v>
      </c>
      <c r="K46" s="17" t="s">
        <v>94</v>
      </c>
      <c r="L46" s="17" t="s">
        <v>154</v>
      </c>
      <c r="M46" s="17" t="s">
        <v>86</v>
      </c>
      <c r="N46" s="17" t="s">
        <v>64</v>
      </c>
      <c r="O46" s="17" t="s">
        <v>77</v>
      </c>
      <c r="P46" s="17" t="s">
        <v>66</v>
      </c>
      <c r="Q46" s="17" t="s">
        <v>67</v>
      </c>
      <c r="R46" s="17" t="s">
        <v>68</v>
      </c>
      <c r="S46" s="17" t="s">
        <v>69</v>
      </c>
      <c r="T46" s="17" t="s">
        <v>272</v>
      </c>
    </row>
    <row r="47" ht="22.5" customHeight="1">
      <c r="A47" s="16">
        <v>45735.90036778935</v>
      </c>
      <c r="B47" s="17" t="s">
        <v>131</v>
      </c>
      <c r="C47" s="17" t="s">
        <v>53</v>
      </c>
      <c r="D47" s="17" t="s">
        <v>81</v>
      </c>
      <c r="E47" s="17" t="s">
        <v>73</v>
      </c>
      <c r="F47" s="17" t="s">
        <v>56</v>
      </c>
      <c r="G47" s="17" t="s">
        <v>132</v>
      </c>
      <c r="H47" s="17" t="s">
        <v>92</v>
      </c>
      <c r="I47" s="17" t="s">
        <v>59</v>
      </c>
      <c r="J47" s="17" t="s">
        <v>76</v>
      </c>
      <c r="K47" s="17" t="s">
        <v>94</v>
      </c>
      <c r="L47" s="17" t="s">
        <v>85</v>
      </c>
      <c r="M47" s="17" t="s">
        <v>98</v>
      </c>
      <c r="N47" s="17" t="s">
        <v>64</v>
      </c>
      <c r="O47" s="17" t="s">
        <v>88</v>
      </c>
      <c r="P47" s="17" t="s">
        <v>89</v>
      </c>
      <c r="Q47" s="17" t="s">
        <v>129</v>
      </c>
      <c r="R47" s="17" t="s">
        <v>103</v>
      </c>
      <c r="S47" s="17" t="s">
        <v>69</v>
      </c>
      <c r="T47" s="17" t="s">
        <v>272</v>
      </c>
    </row>
    <row r="48" ht="22.5" customHeight="1">
      <c r="A48" s="16">
        <v>45735.894861064815</v>
      </c>
      <c r="B48" s="17" t="s">
        <v>180</v>
      </c>
      <c r="C48" s="17" t="s">
        <v>71</v>
      </c>
      <c r="D48" s="17" t="s">
        <v>81</v>
      </c>
      <c r="E48" s="17" t="s">
        <v>55</v>
      </c>
      <c r="F48" s="17" t="s">
        <v>56</v>
      </c>
      <c r="G48" s="17" t="s">
        <v>132</v>
      </c>
      <c r="H48" s="17" t="s">
        <v>92</v>
      </c>
      <c r="I48" s="17" t="s">
        <v>83</v>
      </c>
      <c r="J48" s="17" t="s">
        <v>76</v>
      </c>
      <c r="K48" s="17" t="s">
        <v>61</v>
      </c>
      <c r="L48" s="17" t="s">
        <v>123</v>
      </c>
      <c r="M48" s="17" t="s">
        <v>98</v>
      </c>
      <c r="N48" s="17" t="s">
        <v>64</v>
      </c>
      <c r="O48" s="17" t="s">
        <v>88</v>
      </c>
      <c r="P48" s="17" t="s">
        <v>78</v>
      </c>
      <c r="Q48" s="17" t="s">
        <v>129</v>
      </c>
      <c r="R48" s="17" t="s">
        <v>68</v>
      </c>
      <c r="S48" s="17" t="s">
        <v>69</v>
      </c>
      <c r="T48" s="17" t="s">
        <v>272</v>
      </c>
    </row>
    <row r="49" ht="22.5" customHeight="1">
      <c r="A49" s="16">
        <v>45735.89299680556</v>
      </c>
      <c r="B49" s="17" t="s">
        <v>131</v>
      </c>
      <c r="C49" s="17" t="s">
        <v>71</v>
      </c>
      <c r="D49" s="17" t="s">
        <v>81</v>
      </c>
      <c r="E49" s="17" t="s">
        <v>55</v>
      </c>
      <c r="F49" s="17" t="s">
        <v>56</v>
      </c>
      <c r="G49" s="17" t="s">
        <v>132</v>
      </c>
      <c r="H49" s="17" t="s">
        <v>92</v>
      </c>
      <c r="I49" s="17" t="s">
        <v>93</v>
      </c>
      <c r="J49" s="17" t="s">
        <v>76</v>
      </c>
      <c r="K49" s="17" t="s">
        <v>61</v>
      </c>
      <c r="L49" s="17" t="s">
        <v>85</v>
      </c>
      <c r="M49" s="17" t="s">
        <v>116</v>
      </c>
      <c r="N49" s="17" t="s">
        <v>64</v>
      </c>
      <c r="O49" s="17" t="s">
        <v>88</v>
      </c>
      <c r="P49" s="17" t="s">
        <v>89</v>
      </c>
      <c r="Q49" s="17" t="s">
        <v>79</v>
      </c>
      <c r="R49" s="17" t="s">
        <v>95</v>
      </c>
      <c r="S49" s="17" t="s">
        <v>69</v>
      </c>
      <c r="T49" s="17" t="s">
        <v>272</v>
      </c>
    </row>
    <row r="50" ht="22.5" customHeight="1">
      <c r="A50" s="16">
        <v>45735.885288923615</v>
      </c>
      <c r="B50" s="17" t="s">
        <v>161</v>
      </c>
      <c r="C50" s="17" t="s">
        <v>53</v>
      </c>
      <c r="D50" s="17" t="s">
        <v>109</v>
      </c>
      <c r="E50" s="17" t="s">
        <v>73</v>
      </c>
      <c r="F50" s="17" t="s">
        <v>97</v>
      </c>
      <c r="G50" s="17" t="s">
        <v>132</v>
      </c>
      <c r="H50" s="17" t="s">
        <v>58</v>
      </c>
      <c r="I50" s="17" t="s">
        <v>59</v>
      </c>
      <c r="J50" s="17" t="s">
        <v>76</v>
      </c>
      <c r="K50" s="17" t="s">
        <v>61</v>
      </c>
      <c r="L50" s="17" t="s">
        <v>62</v>
      </c>
      <c r="M50" s="17" t="s">
        <v>116</v>
      </c>
      <c r="N50" s="17" t="s">
        <v>64</v>
      </c>
      <c r="O50" s="17" t="s">
        <v>110</v>
      </c>
      <c r="P50" s="17" t="s">
        <v>78</v>
      </c>
      <c r="Q50" s="17" t="s">
        <v>129</v>
      </c>
      <c r="R50" s="17" t="s">
        <v>103</v>
      </c>
      <c r="S50" s="17" t="s">
        <v>69</v>
      </c>
      <c r="T50" s="17" t="s">
        <v>272</v>
      </c>
    </row>
    <row r="51" ht="22.5" customHeight="1">
      <c r="A51" s="16">
        <v>45735.88486443287</v>
      </c>
      <c r="B51" s="17" t="s">
        <v>219</v>
      </c>
      <c r="C51" s="17" t="s">
        <v>91</v>
      </c>
      <c r="D51" s="17" t="s">
        <v>81</v>
      </c>
      <c r="E51" s="17" t="s">
        <v>55</v>
      </c>
      <c r="F51" s="17" t="s">
        <v>97</v>
      </c>
      <c r="G51" s="17" t="s">
        <v>132</v>
      </c>
      <c r="H51" s="17" t="s">
        <v>113</v>
      </c>
      <c r="I51" s="17" t="s">
        <v>83</v>
      </c>
      <c r="J51" s="17" t="s">
        <v>76</v>
      </c>
      <c r="K51" s="17" t="s">
        <v>94</v>
      </c>
      <c r="L51" s="17" t="s">
        <v>123</v>
      </c>
      <c r="M51" s="17" t="s">
        <v>116</v>
      </c>
      <c r="N51" s="17" t="s">
        <v>64</v>
      </c>
      <c r="O51" s="17" t="s">
        <v>77</v>
      </c>
      <c r="P51" s="17" t="s">
        <v>89</v>
      </c>
      <c r="Q51" s="17" t="s">
        <v>67</v>
      </c>
      <c r="R51" s="17" t="s">
        <v>95</v>
      </c>
      <c r="S51" s="17" t="s">
        <v>69</v>
      </c>
      <c r="T51" s="17" t="s">
        <v>272</v>
      </c>
    </row>
    <row r="52" ht="22.5" customHeight="1">
      <c r="A52" s="16">
        <v>45735.86813563657</v>
      </c>
      <c r="B52" s="17" t="s">
        <v>237</v>
      </c>
      <c r="C52" s="17" t="s">
        <v>71</v>
      </c>
      <c r="D52" s="17" t="s">
        <v>54</v>
      </c>
      <c r="E52" s="17" t="s">
        <v>101</v>
      </c>
      <c r="F52" s="17" t="s">
        <v>97</v>
      </c>
      <c r="G52" s="17" t="s">
        <v>132</v>
      </c>
      <c r="H52" s="17" t="s">
        <v>113</v>
      </c>
      <c r="I52" s="17" t="s">
        <v>75</v>
      </c>
      <c r="J52" s="17" t="s">
        <v>126</v>
      </c>
      <c r="K52" s="17" t="s">
        <v>94</v>
      </c>
      <c r="L52" s="17" t="s">
        <v>123</v>
      </c>
      <c r="M52" s="17" t="s">
        <v>98</v>
      </c>
      <c r="N52" s="17" t="s">
        <v>64</v>
      </c>
      <c r="O52" s="17" t="s">
        <v>88</v>
      </c>
      <c r="P52" s="17" t="s">
        <v>117</v>
      </c>
      <c r="Q52" s="17" t="s">
        <v>105</v>
      </c>
      <c r="R52" s="17" t="s">
        <v>95</v>
      </c>
      <c r="S52" s="17" t="s">
        <v>69</v>
      </c>
      <c r="T52" s="17" t="s">
        <v>272</v>
      </c>
    </row>
    <row r="53" ht="22.5" customHeight="1">
      <c r="A53" s="16">
        <v>45735.86769002315</v>
      </c>
      <c r="B53" s="17" t="s">
        <v>159</v>
      </c>
      <c r="C53" s="17" t="s">
        <v>125</v>
      </c>
      <c r="D53" s="17" t="s">
        <v>81</v>
      </c>
      <c r="E53" s="17" t="s">
        <v>73</v>
      </c>
      <c r="F53" s="17" t="s">
        <v>97</v>
      </c>
      <c r="G53" s="17" t="s">
        <v>57</v>
      </c>
      <c r="H53" s="17" t="s">
        <v>58</v>
      </c>
      <c r="I53" s="17" t="s">
        <v>93</v>
      </c>
      <c r="J53" s="17" t="s">
        <v>126</v>
      </c>
      <c r="K53" s="17" t="s">
        <v>61</v>
      </c>
      <c r="L53" s="17" t="s">
        <v>123</v>
      </c>
      <c r="M53" s="17" t="s">
        <v>98</v>
      </c>
      <c r="N53" s="17" t="s">
        <v>87</v>
      </c>
      <c r="O53" s="17" t="s">
        <v>88</v>
      </c>
      <c r="P53" s="17" t="s">
        <v>66</v>
      </c>
      <c r="Q53" s="17" t="s">
        <v>67</v>
      </c>
      <c r="R53" s="17" t="s">
        <v>99</v>
      </c>
      <c r="S53" s="17" t="s">
        <v>69</v>
      </c>
      <c r="T53" s="17" t="s">
        <v>272</v>
      </c>
    </row>
    <row r="54" ht="22.5" customHeight="1">
      <c r="A54" s="16">
        <v>45735.84916668982</v>
      </c>
      <c r="B54" s="17" t="s">
        <v>108</v>
      </c>
      <c r="C54" s="17" t="s">
        <v>53</v>
      </c>
      <c r="D54" s="17" t="s">
        <v>109</v>
      </c>
      <c r="E54" s="17" t="s">
        <v>55</v>
      </c>
      <c r="F54" s="17" t="s">
        <v>97</v>
      </c>
      <c r="G54" s="17" t="s">
        <v>57</v>
      </c>
      <c r="H54" s="17" t="s">
        <v>82</v>
      </c>
      <c r="I54" s="17" t="s">
        <v>93</v>
      </c>
      <c r="J54" s="17" t="s">
        <v>60</v>
      </c>
      <c r="K54" s="17" t="s">
        <v>61</v>
      </c>
      <c r="L54" s="17" t="s">
        <v>85</v>
      </c>
      <c r="M54" s="17" t="s">
        <v>86</v>
      </c>
      <c r="N54" s="17" t="s">
        <v>87</v>
      </c>
      <c r="O54" s="17" t="s">
        <v>110</v>
      </c>
      <c r="P54" s="17" t="s">
        <v>66</v>
      </c>
      <c r="Q54" s="17" t="s">
        <v>67</v>
      </c>
      <c r="R54" s="17" t="s">
        <v>68</v>
      </c>
      <c r="S54" s="17" t="s">
        <v>69</v>
      </c>
      <c r="T54" s="17" t="s">
        <v>272</v>
      </c>
    </row>
    <row r="55" ht="22.5" customHeight="1">
      <c r="A55" s="16">
        <v>45735.847247592596</v>
      </c>
      <c r="B55" s="17" t="s">
        <v>192</v>
      </c>
      <c r="C55" s="17" t="s">
        <v>71</v>
      </c>
      <c r="D55" s="17" t="s">
        <v>72</v>
      </c>
      <c r="E55" s="17" t="s">
        <v>121</v>
      </c>
      <c r="F55" s="17" t="s">
        <v>97</v>
      </c>
      <c r="G55" s="17" t="s">
        <v>102</v>
      </c>
      <c r="H55" s="17" t="s">
        <v>82</v>
      </c>
      <c r="I55" s="17" t="s">
        <v>75</v>
      </c>
      <c r="J55" s="17" t="s">
        <v>126</v>
      </c>
      <c r="K55" s="17" t="s">
        <v>114</v>
      </c>
      <c r="L55" s="17" t="s">
        <v>62</v>
      </c>
      <c r="M55" s="17" t="s">
        <v>98</v>
      </c>
      <c r="N55" s="17" t="s">
        <v>107</v>
      </c>
      <c r="O55" s="17" t="s">
        <v>77</v>
      </c>
      <c r="P55" s="17" t="s">
        <v>66</v>
      </c>
      <c r="Q55" s="17" t="s">
        <v>129</v>
      </c>
      <c r="R55" s="17" t="s">
        <v>103</v>
      </c>
      <c r="S55" s="17" t="s">
        <v>69</v>
      </c>
      <c r="T55" s="17" t="s">
        <v>272</v>
      </c>
    </row>
    <row r="56" ht="22.5" customHeight="1">
      <c r="A56" s="16">
        <v>45735.844870138884</v>
      </c>
      <c r="B56" s="17" t="s">
        <v>143</v>
      </c>
      <c r="C56" s="17" t="s">
        <v>53</v>
      </c>
      <c r="D56" s="17" t="s">
        <v>109</v>
      </c>
      <c r="E56" s="17" t="s">
        <v>121</v>
      </c>
      <c r="F56" s="17" t="s">
        <v>142</v>
      </c>
      <c r="G56" s="17" t="s">
        <v>57</v>
      </c>
      <c r="H56" s="17" t="s">
        <v>58</v>
      </c>
      <c r="I56" s="17" t="s">
        <v>75</v>
      </c>
      <c r="J56" s="17" t="s">
        <v>126</v>
      </c>
      <c r="K56" s="17" t="s">
        <v>94</v>
      </c>
      <c r="L56" s="17" t="s">
        <v>85</v>
      </c>
      <c r="M56" s="17" t="s">
        <v>98</v>
      </c>
      <c r="N56" s="17" t="s">
        <v>64</v>
      </c>
      <c r="O56" s="17" t="s">
        <v>77</v>
      </c>
      <c r="P56" s="17" t="s">
        <v>89</v>
      </c>
      <c r="Q56" s="17" t="s">
        <v>129</v>
      </c>
      <c r="R56" s="17" t="s">
        <v>68</v>
      </c>
      <c r="S56" s="17" t="s">
        <v>69</v>
      </c>
      <c r="T56" s="17" t="s">
        <v>272</v>
      </c>
    </row>
    <row r="57" ht="22.5" customHeight="1">
      <c r="A57" s="16">
        <v>45735.84354883102</v>
      </c>
      <c r="B57" s="17" t="s">
        <v>143</v>
      </c>
      <c r="C57" s="17" t="s">
        <v>71</v>
      </c>
      <c r="D57" s="17" t="s">
        <v>81</v>
      </c>
      <c r="E57" s="17" t="s">
        <v>101</v>
      </c>
      <c r="F57" s="17" t="s">
        <v>97</v>
      </c>
      <c r="G57" s="17" t="s">
        <v>132</v>
      </c>
      <c r="H57" s="17" t="s">
        <v>92</v>
      </c>
      <c r="I57" s="17" t="s">
        <v>93</v>
      </c>
      <c r="J57" s="17" t="s">
        <v>76</v>
      </c>
      <c r="K57" s="17" t="s">
        <v>61</v>
      </c>
      <c r="L57" s="17" t="s">
        <v>62</v>
      </c>
      <c r="M57" s="17" t="s">
        <v>86</v>
      </c>
      <c r="N57" s="17" t="s">
        <v>138</v>
      </c>
      <c r="O57" s="17" t="s">
        <v>88</v>
      </c>
      <c r="P57" s="17" t="s">
        <v>66</v>
      </c>
      <c r="Q57" s="17" t="s">
        <v>105</v>
      </c>
      <c r="R57" s="17" t="s">
        <v>99</v>
      </c>
      <c r="S57" s="17" t="s">
        <v>69</v>
      </c>
      <c r="T57" s="17" t="s">
        <v>272</v>
      </c>
    </row>
    <row r="58" ht="22.5" customHeight="1">
      <c r="A58" s="16">
        <v>45735.832778738426</v>
      </c>
      <c r="B58" s="17" t="s">
        <v>220</v>
      </c>
      <c r="C58" s="17" t="s">
        <v>53</v>
      </c>
      <c r="D58" s="17" t="s">
        <v>54</v>
      </c>
      <c r="E58" s="17" t="s">
        <v>55</v>
      </c>
      <c r="F58" s="17" t="s">
        <v>56</v>
      </c>
      <c r="G58" s="17" t="s">
        <v>132</v>
      </c>
      <c r="H58" s="17" t="s">
        <v>113</v>
      </c>
      <c r="I58" s="17" t="s">
        <v>93</v>
      </c>
      <c r="J58" s="17" t="s">
        <v>76</v>
      </c>
      <c r="K58" s="17" t="s">
        <v>61</v>
      </c>
      <c r="L58" s="17" t="s">
        <v>123</v>
      </c>
      <c r="M58" s="17" t="s">
        <v>98</v>
      </c>
      <c r="N58" s="17" t="s">
        <v>107</v>
      </c>
      <c r="O58" s="17" t="s">
        <v>88</v>
      </c>
      <c r="P58" s="17" t="s">
        <v>66</v>
      </c>
      <c r="Q58" s="17" t="s">
        <v>105</v>
      </c>
      <c r="R58" s="17" t="s">
        <v>68</v>
      </c>
      <c r="S58" s="17" t="s">
        <v>69</v>
      </c>
      <c r="T58" s="17" t="s">
        <v>272</v>
      </c>
    </row>
    <row r="59" ht="22.5" customHeight="1">
      <c r="A59" s="16">
        <v>45735.82398753472</v>
      </c>
      <c r="B59" s="17" t="s">
        <v>152</v>
      </c>
      <c r="C59" s="17" t="s">
        <v>71</v>
      </c>
      <c r="D59" s="17" t="s">
        <v>72</v>
      </c>
      <c r="E59" s="17" t="s">
        <v>73</v>
      </c>
      <c r="F59" s="17" t="s">
        <v>97</v>
      </c>
      <c r="G59" s="17" t="s">
        <v>132</v>
      </c>
      <c r="H59" s="17" t="s">
        <v>92</v>
      </c>
      <c r="I59" s="17" t="s">
        <v>93</v>
      </c>
      <c r="J59" s="17" t="s">
        <v>76</v>
      </c>
      <c r="K59" s="17" t="s">
        <v>61</v>
      </c>
      <c r="L59" s="17" t="s">
        <v>85</v>
      </c>
      <c r="M59" s="17" t="s">
        <v>98</v>
      </c>
      <c r="N59" s="17" t="s">
        <v>64</v>
      </c>
      <c r="O59" s="17" t="s">
        <v>88</v>
      </c>
      <c r="P59" s="17" t="s">
        <v>89</v>
      </c>
      <c r="Q59" s="17" t="s">
        <v>129</v>
      </c>
      <c r="R59" s="17" t="s">
        <v>95</v>
      </c>
      <c r="S59" s="17" t="s">
        <v>69</v>
      </c>
      <c r="T59" s="17" t="s">
        <v>272</v>
      </c>
    </row>
    <row r="60" ht="22.5" customHeight="1">
      <c r="A60" s="16">
        <v>45735.82216552083</v>
      </c>
      <c r="B60" s="17" t="s">
        <v>139</v>
      </c>
      <c r="C60" s="17" t="s">
        <v>53</v>
      </c>
      <c r="D60" s="17" t="s">
        <v>81</v>
      </c>
      <c r="E60" s="17" t="s">
        <v>55</v>
      </c>
      <c r="F60" s="17" t="s">
        <v>97</v>
      </c>
      <c r="G60" s="17" t="s">
        <v>132</v>
      </c>
      <c r="H60" s="17" t="s">
        <v>82</v>
      </c>
      <c r="I60" s="17" t="s">
        <v>59</v>
      </c>
      <c r="J60" s="17" t="s">
        <v>126</v>
      </c>
      <c r="K60" s="17" t="s">
        <v>94</v>
      </c>
      <c r="L60" s="17" t="s">
        <v>62</v>
      </c>
      <c r="M60" s="17" t="s">
        <v>116</v>
      </c>
      <c r="N60" s="17" t="s">
        <v>64</v>
      </c>
      <c r="O60" s="17" t="s">
        <v>88</v>
      </c>
      <c r="P60" s="17" t="s">
        <v>66</v>
      </c>
      <c r="Q60" s="17" t="s">
        <v>129</v>
      </c>
      <c r="R60" s="17" t="s">
        <v>68</v>
      </c>
      <c r="S60" s="17" t="s">
        <v>69</v>
      </c>
      <c r="T60" s="17" t="s">
        <v>272</v>
      </c>
    </row>
    <row r="61" ht="22.5" customHeight="1">
      <c r="A61" s="16">
        <v>45735.814453784726</v>
      </c>
      <c r="B61" s="17" t="s">
        <v>190</v>
      </c>
      <c r="C61" s="17" t="s">
        <v>53</v>
      </c>
      <c r="D61" s="17" t="s">
        <v>109</v>
      </c>
      <c r="E61" s="17" t="s">
        <v>55</v>
      </c>
      <c r="F61" s="17" t="s">
        <v>97</v>
      </c>
      <c r="G61" s="17" t="s">
        <v>57</v>
      </c>
      <c r="H61" s="17" t="s">
        <v>113</v>
      </c>
      <c r="I61" s="17" t="s">
        <v>83</v>
      </c>
      <c r="J61" s="17" t="s">
        <v>60</v>
      </c>
      <c r="K61" s="17" t="s">
        <v>94</v>
      </c>
      <c r="L61" s="17" t="s">
        <v>85</v>
      </c>
      <c r="M61" s="17" t="s">
        <v>98</v>
      </c>
      <c r="N61" s="17" t="s">
        <v>64</v>
      </c>
      <c r="O61" s="17" t="s">
        <v>77</v>
      </c>
      <c r="P61" s="17" t="s">
        <v>78</v>
      </c>
      <c r="Q61" s="17" t="s">
        <v>79</v>
      </c>
      <c r="R61" s="17" t="s">
        <v>68</v>
      </c>
      <c r="S61" s="17" t="s">
        <v>69</v>
      </c>
      <c r="T61" s="17" t="s">
        <v>272</v>
      </c>
    </row>
    <row r="62" ht="22.5" customHeight="1">
      <c r="A62" s="16">
        <v>45735.81182741898</v>
      </c>
      <c r="B62" s="17" t="s">
        <v>228</v>
      </c>
      <c r="C62" s="17" t="s">
        <v>53</v>
      </c>
      <c r="D62" s="17" t="s">
        <v>54</v>
      </c>
      <c r="E62" s="17" t="s">
        <v>121</v>
      </c>
      <c r="F62" s="17" t="s">
        <v>56</v>
      </c>
      <c r="G62" s="17" t="s">
        <v>132</v>
      </c>
      <c r="H62" s="17" t="s">
        <v>82</v>
      </c>
      <c r="I62" s="17" t="s">
        <v>83</v>
      </c>
      <c r="J62" s="17" t="s">
        <v>60</v>
      </c>
      <c r="K62" s="17" t="s">
        <v>114</v>
      </c>
      <c r="L62" s="17" t="s">
        <v>123</v>
      </c>
      <c r="M62" s="17" t="s">
        <v>63</v>
      </c>
      <c r="N62" s="17" t="s">
        <v>87</v>
      </c>
      <c r="O62" s="17" t="s">
        <v>88</v>
      </c>
      <c r="P62" s="17" t="s">
        <v>78</v>
      </c>
      <c r="Q62" s="17" t="s">
        <v>105</v>
      </c>
      <c r="R62" s="17" t="s">
        <v>99</v>
      </c>
      <c r="S62" s="17" t="s">
        <v>69</v>
      </c>
      <c r="T62" s="17" t="s">
        <v>272</v>
      </c>
    </row>
    <row r="63" ht="22.5" customHeight="1">
      <c r="A63" s="16">
        <v>45735.8108520949</v>
      </c>
      <c r="B63" s="17" t="s">
        <v>104</v>
      </c>
      <c r="C63" s="17" t="s">
        <v>53</v>
      </c>
      <c r="D63" s="17" t="s">
        <v>81</v>
      </c>
      <c r="E63" s="17" t="s">
        <v>55</v>
      </c>
      <c r="F63" s="17" t="s">
        <v>74</v>
      </c>
      <c r="G63" s="17" t="s">
        <v>57</v>
      </c>
      <c r="H63" s="17" t="s">
        <v>82</v>
      </c>
      <c r="I63" s="17" t="s">
        <v>59</v>
      </c>
      <c r="J63" s="17" t="s">
        <v>60</v>
      </c>
      <c r="K63" s="17" t="s">
        <v>61</v>
      </c>
      <c r="L63" s="17" t="s">
        <v>85</v>
      </c>
      <c r="M63" s="17" t="s">
        <v>98</v>
      </c>
      <c r="N63" s="17" t="s">
        <v>87</v>
      </c>
      <c r="O63" s="17" t="s">
        <v>88</v>
      </c>
      <c r="P63" s="17" t="s">
        <v>66</v>
      </c>
      <c r="Q63" s="17" t="s">
        <v>105</v>
      </c>
      <c r="R63" s="17" t="s">
        <v>103</v>
      </c>
      <c r="S63" s="17" t="s">
        <v>69</v>
      </c>
      <c r="T63" s="17" t="s">
        <v>272</v>
      </c>
    </row>
    <row r="64" ht="22.5" customHeight="1">
      <c r="A64" s="16">
        <v>45735.80590415509</v>
      </c>
      <c r="B64" s="17" t="s">
        <v>158</v>
      </c>
      <c r="C64" s="17" t="s">
        <v>71</v>
      </c>
      <c r="D64" s="17" t="s">
        <v>54</v>
      </c>
      <c r="E64" s="17" t="s">
        <v>101</v>
      </c>
      <c r="F64" s="17" t="s">
        <v>97</v>
      </c>
      <c r="G64" s="17" t="s">
        <v>57</v>
      </c>
      <c r="H64" s="17" t="s">
        <v>92</v>
      </c>
      <c r="I64" s="17" t="s">
        <v>93</v>
      </c>
      <c r="J64" s="17" t="s">
        <v>76</v>
      </c>
      <c r="K64" s="17" t="s">
        <v>114</v>
      </c>
      <c r="L64" s="17" t="s">
        <v>85</v>
      </c>
      <c r="M64" s="17" t="s">
        <v>86</v>
      </c>
      <c r="N64" s="17" t="s">
        <v>107</v>
      </c>
      <c r="O64" s="17" t="s">
        <v>88</v>
      </c>
      <c r="P64" s="17" t="s">
        <v>117</v>
      </c>
      <c r="Q64" s="17" t="s">
        <v>105</v>
      </c>
      <c r="R64" s="17" t="s">
        <v>99</v>
      </c>
      <c r="S64" s="17" t="s">
        <v>119</v>
      </c>
      <c r="T64" s="17" t="s">
        <v>272</v>
      </c>
    </row>
    <row r="65" ht="22.5" customHeight="1">
      <c r="A65" s="16">
        <v>45735.75630894676</v>
      </c>
      <c r="B65" s="17" t="s">
        <v>70</v>
      </c>
      <c r="C65" s="17" t="s">
        <v>71</v>
      </c>
      <c r="D65" s="17" t="s">
        <v>72</v>
      </c>
      <c r="E65" s="17" t="s">
        <v>73</v>
      </c>
      <c r="F65" s="17" t="s">
        <v>74</v>
      </c>
      <c r="G65" s="17" t="s">
        <v>57</v>
      </c>
      <c r="H65" s="17" t="s">
        <v>58</v>
      </c>
      <c r="I65" s="17" t="s">
        <v>75</v>
      </c>
      <c r="J65" s="17" t="s">
        <v>76</v>
      </c>
      <c r="K65" s="17" t="s">
        <v>61</v>
      </c>
      <c r="L65" s="17" t="s">
        <v>62</v>
      </c>
      <c r="M65" s="17" t="s">
        <v>63</v>
      </c>
      <c r="N65" s="17" t="s">
        <v>64</v>
      </c>
      <c r="O65" s="17" t="s">
        <v>77</v>
      </c>
      <c r="P65" s="17" t="s">
        <v>78</v>
      </c>
      <c r="Q65" s="17" t="s">
        <v>79</v>
      </c>
      <c r="R65" s="17" t="s">
        <v>68</v>
      </c>
      <c r="S65" s="17" t="s">
        <v>69</v>
      </c>
      <c r="T65" s="17" t="s">
        <v>272</v>
      </c>
    </row>
    <row r="66" ht="22.5" customHeight="1">
      <c r="A66" s="16">
        <v>45735.745926574076</v>
      </c>
      <c r="B66" s="17" t="s">
        <v>157</v>
      </c>
      <c r="C66" s="17" t="s">
        <v>53</v>
      </c>
      <c r="D66" s="17" t="s">
        <v>81</v>
      </c>
      <c r="E66" s="17" t="s">
        <v>55</v>
      </c>
      <c r="F66" s="17" t="s">
        <v>142</v>
      </c>
      <c r="G66" s="17" t="s">
        <v>132</v>
      </c>
      <c r="H66" s="17" t="s">
        <v>58</v>
      </c>
      <c r="I66" s="17" t="s">
        <v>93</v>
      </c>
      <c r="J66" s="17" t="s">
        <v>126</v>
      </c>
      <c r="K66" s="17" t="s">
        <v>94</v>
      </c>
      <c r="L66" s="17" t="s">
        <v>85</v>
      </c>
      <c r="M66" s="17" t="s">
        <v>86</v>
      </c>
      <c r="N66" s="17" t="s">
        <v>64</v>
      </c>
      <c r="O66" s="17" t="s">
        <v>65</v>
      </c>
      <c r="P66" s="17" t="s">
        <v>66</v>
      </c>
      <c r="Q66" s="17" t="s">
        <v>67</v>
      </c>
      <c r="R66" s="17" t="s">
        <v>99</v>
      </c>
      <c r="S66" s="17" t="s">
        <v>69</v>
      </c>
      <c r="T66" s="17" t="s">
        <v>272</v>
      </c>
    </row>
    <row r="67" ht="22.5" customHeight="1">
      <c r="A67" s="16">
        <v>45735.74090228009</v>
      </c>
      <c r="B67" s="17" t="s">
        <v>145</v>
      </c>
      <c r="C67" s="17" t="s">
        <v>125</v>
      </c>
      <c r="D67" s="17" t="s">
        <v>54</v>
      </c>
      <c r="E67" s="17" t="s">
        <v>55</v>
      </c>
      <c r="F67" s="17" t="s">
        <v>142</v>
      </c>
      <c r="G67" s="17" t="s">
        <v>102</v>
      </c>
      <c r="H67" s="17" t="s">
        <v>82</v>
      </c>
      <c r="I67" s="17" t="s">
        <v>75</v>
      </c>
      <c r="J67" s="17" t="s">
        <v>126</v>
      </c>
      <c r="K67" s="17" t="s">
        <v>61</v>
      </c>
      <c r="L67" s="17" t="s">
        <v>62</v>
      </c>
      <c r="M67" s="17" t="s">
        <v>98</v>
      </c>
      <c r="N67" s="17" t="s">
        <v>64</v>
      </c>
      <c r="O67" s="17" t="s">
        <v>65</v>
      </c>
      <c r="P67" s="17" t="s">
        <v>66</v>
      </c>
      <c r="Q67" s="17" t="s">
        <v>67</v>
      </c>
      <c r="R67" s="17" t="s">
        <v>68</v>
      </c>
      <c r="S67" s="17" t="s">
        <v>69</v>
      </c>
      <c r="T67" s="17" t="s">
        <v>272</v>
      </c>
    </row>
    <row r="68" ht="22.5" customHeight="1">
      <c r="A68" s="16">
        <v>45735.72434878472</v>
      </c>
      <c r="B68" s="17" t="s">
        <v>164</v>
      </c>
      <c r="C68" s="17" t="s">
        <v>53</v>
      </c>
      <c r="D68" s="17" t="s">
        <v>81</v>
      </c>
      <c r="E68" s="17" t="s">
        <v>55</v>
      </c>
      <c r="F68" s="17" t="s">
        <v>56</v>
      </c>
      <c r="G68" s="17" t="s">
        <v>132</v>
      </c>
      <c r="H68" s="17" t="s">
        <v>92</v>
      </c>
      <c r="I68" s="17" t="s">
        <v>93</v>
      </c>
      <c r="J68" s="17" t="s">
        <v>60</v>
      </c>
      <c r="K68" s="17" t="s">
        <v>61</v>
      </c>
      <c r="L68" s="17" t="s">
        <v>62</v>
      </c>
      <c r="M68" s="17" t="s">
        <v>98</v>
      </c>
      <c r="N68" s="17" t="s">
        <v>107</v>
      </c>
      <c r="O68" s="17" t="s">
        <v>88</v>
      </c>
      <c r="P68" s="17" t="s">
        <v>89</v>
      </c>
      <c r="Q68" s="17" t="s">
        <v>67</v>
      </c>
      <c r="R68" s="17" t="s">
        <v>95</v>
      </c>
      <c r="S68" s="17" t="s">
        <v>69</v>
      </c>
      <c r="T68" s="17" t="s">
        <v>272</v>
      </c>
    </row>
    <row r="69" ht="22.5" customHeight="1">
      <c r="A69" s="16">
        <v>45735.715725243055</v>
      </c>
      <c r="B69" s="17" t="s">
        <v>244</v>
      </c>
      <c r="C69" s="17" t="s">
        <v>53</v>
      </c>
      <c r="D69" s="17" t="s">
        <v>109</v>
      </c>
      <c r="E69" s="17" t="s">
        <v>121</v>
      </c>
      <c r="F69" s="17" t="s">
        <v>97</v>
      </c>
      <c r="G69" s="17" t="s">
        <v>132</v>
      </c>
      <c r="H69" s="17" t="s">
        <v>92</v>
      </c>
      <c r="I69" s="17" t="s">
        <v>75</v>
      </c>
      <c r="J69" s="17" t="s">
        <v>76</v>
      </c>
      <c r="K69" s="17" t="s">
        <v>61</v>
      </c>
      <c r="L69" s="17" t="s">
        <v>123</v>
      </c>
      <c r="M69" s="17" t="s">
        <v>98</v>
      </c>
      <c r="N69" s="17" t="s">
        <v>107</v>
      </c>
      <c r="O69" s="17" t="s">
        <v>110</v>
      </c>
      <c r="P69" s="17" t="s">
        <v>117</v>
      </c>
      <c r="Q69" s="17" t="s">
        <v>79</v>
      </c>
      <c r="R69" s="17" t="s">
        <v>68</v>
      </c>
      <c r="S69" s="17" t="s">
        <v>69</v>
      </c>
      <c r="T69" s="17" t="s">
        <v>272</v>
      </c>
    </row>
    <row r="70" ht="22.5" customHeight="1">
      <c r="A70" s="16">
        <v>45735.706676608796</v>
      </c>
      <c r="B70" s="17" t="s">
        <v>234</v>
      </c>
      <c r="C70" s="17" t="s">
        <v>53</v>
      </c>
      <c r="D70" s="17" t="s">
        <v>109</v>
      </c>
      <c r="E70" s="17" t="s">
        <v>73</v>
      </c>
      <c r="F70" s="17" t="s">
        <v>56</v>
      </c>
      <c r="G70" s="17" t="s">
        <v>132</v>
      </c>
      <c r="H70" s="17" t="s">
        <v>92</v>
      </c>
      <c r="I70" s="17" t="s">
        <v>75</v>
      </c>
      <c r="J70" s="17" t="s">
        <v>76</v>
      </c>
      <c r="K70" s="17" t="s">
        <v>61</v>
      </c>
      <c r="L70" s="17" t="s">
        <v>154</v>
      </c>
      <c r="M70" s="17" t="s">
        <v>116</v>
      </c>
      <c r="N70" s="17" t="s">
        <v>64</v>
      </c>
      <c r="O70" s="17" t="s">
        <v>88</v>
      </c>
      <c r="P70" s="17" t="s">
        <v>66</v>
      </c>
      <c r="Q70" s="17" t="s">
        <v>67</v>
      </c>
      <c r="R70" s="17" t="s">
        <v>68</v>
      </c>
      <c r="S70" s="17" t="s">
        <v>69</v>
      </c>
      <c r="T70" s="17" t="s">
        <v>272</v>
      </c>
    </row>
    <row r="71" ht="22.5" customHeight="1">
      <c r="A71" s="16">
        <v>45735.68455144676</v>
      </c>
      <c r="B71" s="17" t="s">
        <v>167</v>
      </c>
      <c r="C71" s="17" t="s">
        <v>53</v>
      </c>
      <c r="D71" s="17" t="s">
        <v>81</v>
      </c>
      <c r="E71" s="17" t="s">
        <v>55</v>
      </c>
      <c r="F71" s="17" t="s">
        <v>74</v>
      </c>
      <c r="G71" s="17" t="s">
        <v>132</v>
      </c>
      <c r="H71" s="17" t="s">
        <v>58</v>
      </c>
      <c r="I71" s="17" t="s">
        <v>59</v>
      </c>
      <c r="J71" s="17" t="s">
        <v>76</v>
      </c>
      <c r="K71" s="17" t="s">
        <v>94</v>
      </c>
      <c r="L71" s="17" t="s">
        <v>85</v>
      </c>
      <c r="M71" s="17" t="s">
        <v>116</v>
      </c>
      <c r="N71" s="17" t="s">
        <v>138</v>
      </c>
      <c r="O71" s="17" t="s">
        <v>88</v>
      </c>
      <c r="P71" s="17" t="s">
        <v>89</v>
      </c>
      <c r="Q71" s="17" t="s">
        <v>67</v>
      </c>
      <c r="R71" s="17" t="s">
        <v>99</v>
      </c>
      <c r="S71" s="17" t="s">
        <v>119</v>
      </c>
      <c r="T71" s="17" t="s">
        <v>272</v>
      </c>
    </row>
    <row r="72" ht="22.5" customHeight="1">
      <c r="A72" s="16">
        <v>45735.675063055554</v>
      </c>
      <c r="B72" s="17" t="s">
        <v>214</v>
      </c>
      <c r="C72" s="17" t="s">
        <v>53</v>
      </c>
      <c r="D72" s="17" t="s">
        <v>81</v>
      </c>
      <c r="E72" s="17" t="s">
        <v>101</v>
      </c>
      <c r="F72" s="17" t="s">
        <v>97</v>
      </c>
      <c r="G72" s="17" t="s">
        <v>102</v>
      </c>
      <c r="H72" s="17" t="s">
        <v>58</v>
      </c>
      <c r="I72" s="17" t="s">
        <v>75</v>
      </c>
      <c r="J72" s="17" t="s">
        <v>188</v>
      </c>
      <c r="K72" s="17" t="s">
        <v>114</v>
      </c>
      <c r="L72" s="17" t="s">
        <v>85</v>
      </c>
      <c r="M72" s="17" t="s">
        <v>86</v>
      </c>
      <c r="N72" s="17" t="s">
        <v>107</v>
      </c>
      <c r="O72" s="17" t="s">
        <v>88</v>
      </c>
      <c r="P72" s="17" t="s">
        <v>117</v>
      </c>
      <c r="Q72" s="17" t="s">
        <v>129</v>
      </c>
      <c r="R72" s="17" t="s">
        <v>99</v>
      </c>
      <c r="S72" s="17" t="s">
        <v>69</v>
      </c>
      <c r="T72" s="17" t="s">
        <v>272</v>
      </c>
    </row>
    <row r="73" ht="22.5" customHeight="1">
      <c r="A73" s="16">
        <v>45735.65818241898</v>
      </c>
      <c r="B73" s="17" t="s">
        <v>170</v>
      </c>
      <c r="C73" s="17" t="s">
        <v>53</v>
      </c>
      <c r="D73" s="17" t="s">
        <v>81</v>
      </c>
      <c r="E73" s="17" t="s">
        <v>101</v>
      </c>
      <c r="F73" s="17" t="s">
        <v>56</v>
      </c>
      <c r="G73" s="17" t="s">
        <v>57</v>
      </c>
      <c r="H73" s="17" t="s">
        <v>113</v>
      </c>
      <c r="I73" s="17" t="s">
        <v>75</v>
      </c>
      <c r="J73" s="17" t="s">
        <v>76</v>
      </c>
      <c r="K73" s="17" t="s">
        <v>94</v>
      </c>
      <c r="L73" s="17" t="s">
        <v>62</v>
      </c>
      <c r="M73" s="17" t="s">
        <v>98</v>
      </c>
      <c r="N73" s="17" t="s">
        <v>64</v>
      </c>
      <c r="O73" s="17" t="s">
        <v>77</v>
      </c>
      <c r="P73" s="17" t="s">
        <v>66</v>
      </c>
      <c r="Q73" s="17" t="s">
        <v>129</v>
      </c>
      <c r="R73" s="17" t="s">
        <v>68</v>
      </c>
      <c r="S73" s="17" t="s">
        <v>69</v>
      </c>
      <c r="T73" s="17" t="s">
        <v>272</v>
      </c>
    </row>
    <row r="74" ht="22.5" customHeight="1">
      <c r="A74" s="16">
        <v>45735.65121513889</v>
      </c>
      <c r="B74" s="17" t="s">
        <v>231</v>
      </c>
      <c r="C74" s="17" t="s">
        <v>53</v>
      </c>
      <c r="D74" s="17" t="s">
        <v>81</v>
      </c>
      <c r="E74" s="17" t="s">
        <v>73</v>
      </c>
      <c r="F74" s="17" t="s">
        <v>97</v>
      </c>
      <c r="G74" s="17" t="s">
        <v>132</v>
      </c>
      <c r="H74" s="17" t="s">
        <v>82</v>
      </c>
      <c r="I74" s="17" t="s">
        <v>83</v>
      </c>
      <c r="J74" s="17" t="s">
        <v>126</v>
      </c>
      <c r="K74" s="17" t="s">
        <v>114</v>
      </c>
      <c r="L74" s="17" t="s">
        <v>154</v>
      </c>
      <c r="M74" s="17" t="s">
        <v>86</v>
      </c>
      <c r="N74" s="17" t="s">
        <v>107</v>
      </c>
      <c r="O74" s="17" t="s">
        <v>88</v>
      </c>
      <c r="P74" s="17" t="s">
        <v>78</v>
      </c>
      <c r="Q74" s="17" t="s">
        <v>129</v>
      </c>
      <c r="R74" s="17" t="s">
        <v>95</v>
      </c>
      <c r="S74" s="17" t="s">
        <v>69</v>
      </c>
      <c r="T74" s="17" t="s">
        <v>272</v>
      </c>
    </row>
    <row r="75" ht="22.5" customHeight="1">
      <c r="A75" s="16">
        <v>45735.64611773148</v>
      </c>
      <c r="B75" s="17" t="s">
        <v>150</v>
      </c>
      <c r="C75" s="17" t="s">
        <v>71</v>
      </c>
      <c r="D75" s="17" t="s">
        <v>72</v>
      </c>
      <c r="E75" s="17" t="s">
        <v>101</v>
      </c>
      <c r="F75" s="17" t="s">
        <v>142</v>
      </c>
      <c r="G75" s="17" t="s">
        <v>57</v>
      </c>
      <c r="H75" s="17" t="s">
        <v>92</v>
      </c>
      <c r="I75" s="17" t="s">
        <v>59</v>
      </c>
      <c r="J75" s="17" t="s">
        <v>76</v>
      </c>
      <c r="K75" s="17" t="s">
        <v>61</v>
      </c>
      <c r="L75" s="17" t="s">
        <v>62</v>
      </c>
      <c r="M75" s="17" t="s">
        <v>63</v>
      </c>
      <c r="N75" s="17" t="s">
        <v>107</v>
      </c>
      <c r="O75" s="17" t="s">
        <v>88</v>
      </c>
      <c r="P75" s="17" t="s">
        <v>78</v>
      </c>
      <c r="Q75" s="17" t="s">
        <v>129</v>
      </c>
      <c r="R75" s="17" t="s">
        <v>95</v>
      </c>
      <c r="S75" s="17" t="s">
        <v>69</v>
      </c>
      <c r="T75" s="17" t="s">
        <v>272</v>
      </c>
    </row>
    <row r="76" ht="22.5" customHeight="1">
      <c r="A76" s="16">
        <v>45735.643406585645</v>
      </c>
      <c r="B76" s="17" t="s">
        <v>238</v>
      </c>
      <c r="C76" s="17" t="s">
        <v>71</v>
      </c>
      <c r="D76" s="17" t="s">
        <v>72</v>
      </c>
      <c r="E76" s="17" t="s">
        <v>101</v>
      </c>
      <c r="F76" s="17" t="s">
        <v>142</v>
      </c>
      <c r="G76" s="17" t="s">
        <v>132</v>
      </c>
      <c r="H76" s="17" t="s">
        <v>113</v>
      </c>
      <c r="I76" s="17" t="s">
        <v>59</v>
      </c>
      <c r="J76" s="17" t="s">
        <v>76</v>
      </c>
      <c r="K76" s="17" t="s">
        <v>61</v>
      </c>
      <c r="L76" s="17" t="s">
        <v>123</v>
      </c>
      <c r="M76" s="17" t="s">
        <v>98</v>
      </c>
      <c r="N76" s="17" t="s">
        <v>138</v>
      </c>
      <c r="O76" s="17" t="s">
        <v>65</v>
      </c>
      <c r="P76" s="17" t="s">
        <v>66</v>
      </c>
      <c r="Q76" s="17" t="s">
        <v>79</v>
      </c>
      <c r="R76" s="17" t="s">
        <v>103</v>
      </c>
      <c r="S76" s="17" t="s">
        <v>69</v>
      </c>
      <c r="T76" s="17" t="s">
        <v>272</v>
      </c>
    </row>
    <row r="77" ht="22.5" customHeight="1">
      <c r="A77" s="16">
        <v>45735.63665072917</v>
      </c>
      <c r="B77" s="17" t="s">
        <v>215</v>
      </c>
      <c r="C77" s="17" t="s">
        <v>71</v>
      </c>
      <c r="D77" s="17" t="s">
        <v>81</v>
      </c>
      <c r="E77" s="17" t="s">
        <v>55</v>
      </c>
      <c r="F77" s="17" t="s">
        <v>56</v>
      </c>
      <c r="G77" s="17" t="s">
        <v>136</v>
      </c>
      <c r="H77" s="17" t="s">
        <v>113</v>
      </c>
      <c r="I77" s="17" t="s">
        <v>83</v>
      </c>
      <c r="J77" s="17" t="s">
        <v>188</v>
      </c>
      <c r="K77" s="17" t="s">
        <v>94</v>
      </c>
      <c r="L77" s="17" t="s">
        <v>123</v>
      </c>
      <c r="M77" s="17" t="s">
        <v>98</v>
      </c>
      <c r="N77" s="17" t="s">
        <v>64</v>
      </c>
      <c r="O77" s="17" t="s">
        <v>88</v>
      </c>
      <c r="P77" s="17" t="s">
        <v>89</v>
      </c>
      <c r="Q77" s="17" t="s">
        <v>129</v>
      </c>
      <c r="R77" s="17" t="s">
        <v>68</v>
      </c>
      <c r="S77" s="17" t="s">
        <v>69</v>
      </c>
      <c r="T77" s="17" t="s">
        <v>272</v>
      </c>
    </row>
    <row r="78" ht="22.5" customHeight="1">
      <c r="A78" s="16">
        <v>45735.622467974536</v>
      </c>
      <c r="B78" s="17" t="s">
        <v>146</v>
      </c>
      <c r="C78" s="17" t="s">
        <v>71</v>
      </c>
      <c r="D78" s="17" t="s">
        <v>72</v>
      </c>
      <c r="E78" s="17" t="s">
        <v>121</v>
      </c>
      <c r="F78" s="17" t="s">
        <v>97</v>
      </c>
      <c r="G78" s="17" t="s">
        <v>132</v>
      </c>
      <c r="H78" s="17" t="s">
        <v>82</v>
      </c>
      <c r="I78" s="17" t="s">
        <v>59</v>
      </c>
      <c r="J78" s="17" t="s">
        <v>76</v>
      </c>
      <c r="K78" s="17" t="s">
        <v>84</v>
      </c>
      <c r="L78" s="17" t="s">
        <v>62</v>
      </c>
      <c r="M78" s="17" t="s">
        <v>86</v>
      </c>
      <c r="N78" s="17" t="s">
        <v>138</v>
      </c>
      <c r="O78" s="17" t="s">
        <v>77</v>
      </c>
      <c r="P78" s="17" t="s">
        <v>66</v>
      </c>
      <c r="Q78" s="17" t="s">
        <v>67</v>
      </c>
      <c r="R78" s="17" t="s">
        <v>99</v>
      </c>
      <c r="S78" s="17" t="s">
        <v>69</v>
      </c>
      <c r="T78" s="17" t="s">
        <v>272</v>
      </c>
    </row>
    <row r="79" ht="22.5" customHeight="1">
      <c r="A79" s="16">
        <v>45735.62245997685</v>
      </c>
      <c r="B79" s="17" t="s">
        <v>177</v>
      </c>
      <c r="C79" s="17" t="s">
        <v>53</v>
      </c>
      <c r="D79" s="17" t="s">
        <v>54</v>
      </c>
      <c r="E79" s="17" t="s">
        <v>55</v>
      </c>
      <c r="F79" s="17" t="s">
        <v>97</v>
      </c>
      <c r="G79" s="17" t="s">
        <v>132</v>
      </c>
      <c r="H79" s="17" t="s">
        <v>113</v>
      </c>
      <c r="I79" s="17" t="s">
        <v>75</v>
      </c>
      <c r="J79" s="17" t="s">
        <v>76</v>
      </c>
      <c r="K79" s="17" t="s">
        <v>94</v>
      </c>
      <c r="L79" s="17" t="s">
        <v>62</v>
      </c>
      <c r="M79" s="17" t="s">
        <v>116</v>
      </c>
      <c r="N79" s="17" t="s">
        <v>64</v>
      </c>
      <c r="O79" s="17" t="s">
        <v>77</v>
      </c>
      <c r="P79" s="17" t="s">
        <v>89</v>
      </c>
      <c r="Q79" s="17" t="s">
        <v>67</v>
      </c>
      <c r="R79" s="17" t="s">
        <v>103</v>
      </c>
      <c r="S79" s="17" t="s">
        <v>69</v>
      </c>
      <c r="T79" s="17" t="s">
        <v>272</v>
      </c>
    </row>
    <row r="80" ht="22.5" customHeight="1">
      <c r="A80" s="16">
        <v>45735.621967025465</v>
      </c>
      <c r="B80" s="17" t="s">
        <v>196</v>
      </c>
      <c r="C80" s="17" t="s">
        <v>53</v>
      </c>
      <c r="D80" s="17" t="s">
        <v>72</v>
      </c>
      <c r="E80" s="17" t="s">
        <v>73</v>
      </c>
      <c r="F80" s="17" t="s">
        <v>74</v>
      </c>
      <c r="G80" s="17" t="s">
        <v>136</v>
      </c>
      <c r="H80" s="17" t="s">
        <v>82</v>
      </c>
      <c r="I80" s="17" t="s">
        <v>59</v>
      </c>
      <c r="J80" s="17" t="s">
        <v>126</v>
      </c>
      <c r="K80" s="17" t="s">
        <v>94</v>
      </c>
      <c r="L80" s="17" t="s">
        <v>123</v>
      </c>
      <c r="M80" s="17" t="s">
        <v>98</v>
      </c>
      <c r="N80" s="17" t="s">
        <v>64</v>
      </c>
      <c r="O80" s="17" t="s">
        <v>88</v>
      </c>
      <c r="P80" s="17" t="s">
        <v>78</v>
      </c>
      <c r="Q80" s="17" t="s">
        <v>105</v>
      </c>
      <c r="R80" s="17" t="s">
        <v>95</v>
      </c>
      <c r="S80" s="17" t="s">
        <v>69</v>
      </c>
      <c r="T80" s="17" t="s">
        <v>272</v>
      </c>
    </row>
    <row r="81" ht="22.5" customHeight="1">
      <c r="A81" s="16">
        <v>45735.621663935184</v>
      </c>
      <c r="B81" s="17" t="s">
        <v>173</v>
      </c>
      <c r="C81" s="17" t="s">
        <v>53</v>
      </c>
      <c r="D81" s="17" t="s">
        <v>81</v>
      </c>
      <c r="E81" s="17" t="s">
        <v>73</v>
      </c>
      <c r="F81" s="17" t="s">
        <v>142</v>
      </c>
      <c r="G81" s="17" t="s">
        <v>57</v>
      </c>
      <c r="H81" s="17" t="s">
        <v>113</v>
      </c>
      <c r="I81" s="17" t="s">
        <v>83</v>
      </c>
      <c r="J81" s="17" t="s">
        <v>76</v>
      </c>
      <c r="K81" s="17" t="s">
        <v>94</v>
      </c>
      <c r="L81" s="17" t="s">
        <v>62</v>
      </c>
      <c r="M81" s="17" t="s">
        <v>98</v>
      </c>
      <c r="N81" s="17" t="s">
        <v>64</v>
      </c>
      <c r="O81" s="17" t="s">
        <v>65</v>
      </c>
      <c r="P81" s="17" t="s">
        <v>117</v>
      </c>
      <c r="Q81" s="17" t="s">
        <v>105</v>
      </c>
      <c r="R81" s="17" t="s">
        <v>99</v>
      </c>
      <c r="S81" s="17" t="s">
        <v>69</v>
      </c>
      <c r="T81" s="17" t="s">
        <v>272</v>
      </c>
    </row>
    <row r="82" ht="22.5" customHeight="1">
      <c r="A82" s="16">
        <v>45735.60553472222</v>
      </c>
      <c r="B82" s="17" t="s">
        <v>187</v>
      </c>
      <c r="C82" s="17" t="s">
        <v>53</v>
      </c>
      <c r="D82" s="17" t="s">
        <v>54</v>
      </c>
      <c r="E82" s="17" t="s">
        <v>55</v>
      </c>
      <c r="F82" s="17" t="s">
        <v>97</v>
      </c>
      <c r="G82" s="17" t="s">
        <v>57</v>
      </c>
      <c r="H82" s="17" t="s">
        <v>92</v>
      </c>
      <c r="I82" s="17" t="s">
        <v>75</v>
      </c>
      <c r="J82" s="17" t="s">
        <v>188</v>
      </c>
      <c r="K82" s="17" t="s">
        <v>61</v>
      </c>
      <c r="L82" s="17" t="s">
        <v>154</v>
      </c>
      <c r="M82" s="17" t="s">
        <v>63</v>
      </c>
      <c r="N82" s="17" t="s">
        <v>64</v>
      </c>
      <c r="O82" s="17" t="s">
        <v>77</v>
      </c>
      <c r="P82" s="17" t="s">
        <v>78</v>
      </c>
      <c r="Q82" s="17" t="s">
        <v>67</v>
      </c>
      <c r="R82" s="17" t="s">
        <v>103</v>
      </c>
      <c r="S82" s="17" t="s">
        <v>69</v>
      </c>
      <c r="T82" s="17" t="s">
        <v>272</v>
      </c>
    </row>
    <row r="83" ht="22.5" customHeight="1">
      <c r="A83" s="16">
        <v>45735.586297766204</v>
      </c>
      <c r="B83" s="17" t="s">
        <v>195</v>
      </c>
      <c r="C83" s="17" t="s">
        <v>91</v>
      </c>
      <c r="D83" s="17" t="s">
        <v>109</v>
      </c>
      <c r="E83" s="17" t="s">
        <v>101</v>
      </c>
      <c r="F83" s="17" t="s">
        <v>97</v>
      </c>
      <c r="G83" s="17" t="s">
        <v>132</v>
      </c>
      <c r="H83" s="17" t="s">
        <v>82</v>
      </c>
      <c r="I83" s="17" t="s">
        <v>93</v>
      </c>
      <c r="J83" s="17" t="s">
        <v>76</v>
      </c>
      <c r="K83" s="17" t="s">
        <v>84</v>
      </c>
      <c r="L83" s="17" t="s">
        <v>62</v>
      </c>
      <c r="M83" s="17" t="s">
        <v>98</v>
      </c>
      <c r="N83" s="17" t="s">
        <v>64</v>
      </c>
      <c r="O83" s="17" t="s">
        <v>77</v>
      </c>
      <c r="P83" s="17" t="s">
        <v>66</v>
      </c>
      <c r="Q83" s="17" t="s">
        <v>79</v>
      </c>
      <c r="R83" s="17" t="s">
        <v>68</v>
      </c>
      <c r="S83" s="17" t="s">
        <v>69</v>
      </c>
      <c r="T83" s="17" t="s">
        <v>272</v>
      </c>
    </row>
    <row r="84" ht="22.5" customHeight="1">
      <c r="A84" s="16">
        <v>45735.58584263889</v>
      </c>
      <c r="B84" s="17" t="s">
        <v>182</v>
      </c>
      <c r="C84" s="17" t="s">
        <v>53</v>
      </c>
      <c r="D84" s="17" t="s">
        <v>81</v>
      </c>
      <c r="E84" s="17" t="s">
        <v>73</v>
      </c>
      <c r="F84" s="17" t="s">
        <v>56</v>
      </c>
      <c r="G84" s="17" t="s">
        <v>102</v>
      </c>
      <c r="H84" s="17" t="s">
        <v>58</v>
      </c>
      <c r="I84" s="17" t="s">
        <v>83</v>
      </c>
      <c r="J84" s="17" t="s">
        <v>126</v>
      </c>
      <c r="K84" s="17" t="s">
        <v>94</v>
      </c>
      <c r="L84" s="17" t="s">
        <v>62</v>
      </c>
      <c r="M84" s="17" t="s">
        <v>63</v>
      </c>
      <c r="N84" s="17" t="s">
        <v>107</v>
      </c>
      <c r="O84" s="17" t="s">
        <v>110</v>
      </c>
      <c r="P84" s="17" t="s">
        <v>117</v>
      </c>
      <c r="Q84" s="17" t="s">
        <v>79</v>
      </c>
      <c r="R84" s="17" t="s">
        <v>95</v>
      </c>
      <c r="S84" s="17" t="s">
        <v>69</v>
      </c>
      <c r="T84" s="17" t="s">
        <v>272</v>
      </c>
    </row>
    <row r="85" ht="22.5" customHeight="1">
      <c r="A85" s="16">
        <v>45735.58517471065</v>
      </c>
      <c r="B85" s="17" t="s">
        <v>217</v>
      </c>
      <c r="C85" s="17" t="s">
        <v>125</v>
      </c>
      <c r="D85" s="17" t="s">
        <v>81</v>
      </c>
      <c r="E85" s="17" t="s">
        <v>73</v>
      </c>
      <c r="F85" s="17" t="s">
        <v>74</v>
      </c>
      <c r="G85" s="17" t="s">
        <v>57</v>
      </c>
      <c r="H85" s="17" t="s">
        <v>92</v>
      </c>
      <c r="I85" s="17" t="s">
        <v>83</v>
      </c>
      <c r="J85" s="17" t="s">
        <v>76</v>
      </c>
      <c r="K85" s="17" t="s">
        <v>84</v>
      </c>
      <c r="L85" s="17" t="s">
        <v>154</v>
      </c>
      <c r="M85" s="17" t="s">
        <v>63</v>
      </c>
      <c r="N85" s="17" t="s">
        <v>138</v>
      </c>
      <c r="O85" s="17" t="s">
        <v>110</v>
      </c>
      <c r="P85" s="17" t="s">
        <v>117</v>
      </c>
      <c r="Q85" s="17" t="s">
        <v>67</v>
      </c>
      <c r="R85" s="17" t="s">
        <v>95</v>
      </c>
      <c r="S85" s="17" t="s">
        <v>69</v>
      </c>
      <c r="T85" s="17" t="s">
        <v>272</v>
      </c>
    </row>
    <row r="86" ht="22.5" customHeight="1">
      <c r="A86" s="16">
        <v>45735.56447549768</v>
      </c>
      <c r="B86" s="17" t="s">
        <v>212</v>
      </c>
      <c r="C86" s="17" t="s">
        <v>71</v>
      </c>
      <c r="D86" s="17" t="s">
        <v>54</v>
      </c>
      <c r="E86" s="17" t="s">
        <v>55</v>
      </c>
      <c r="F86" s="17" t="s">
        <v>142</v>
      </c>
      <c r="G86" s="17" t="s">
        <v>132</v>
      </c>
      <c r="H86" s="17" t="s">
        <v>92</v>
      </c>
      <c r="I86" s="17" t="s">
        <v>83</v>
      </c>
      <c r="J86" s="17" t="s">
        <v>126</v>
      </c>
      <c r="K86" s="17" t="s">
        <v>61</v>
      </c>
      <c r="L86" s="17" t="s">
        <v>123</v>
      </c>
      <c r="M86" s="17" t="s">
        <v>98</v>
      </c>
      <c r="N86" s="17" t="s">
        <v>64</v>
      </c>
      <c r="O86" s="17" t="s">
        <v>88</v>
      </c>
      <c r="P86" s="17" t="s">
        <v>89</v>
      </c>
      <c r="Q86" s="17" t="s">
        <v>67</v>
      </c>
      <c r="R86" s="17" t="s">
        <v>95</v>
      </c>
      <c r="S86" s="17" t="s">
        <v>69</v>
      </c>
      <c r="T86" s="17" t="s">
        <v>272</v>
      </c>
    </row>
    <row r="87" ht="22.5" customHeight="1">
      <c r="A87" s="16">
        <v>45735.56262186343</v>
      </c>
      <c r="B87" s="17" t="s">
        <v>80</v>
      </c>
      <c r="C87" s="17" t="s">
        <v>71</v>
      </c>
      <c r="D87" s="17" t="s">
        <v>81</v>
      </c>
      <c r="E87" s="17" t="s">
        <v>55</v>
      </c>
      <c r="F87" s="17" t="s">
        <v>56</v>
      </c>
      <c r="G87" s="17" t="s">
        <v>57</v>
      </c>
      <c r="H87" s="17" t="s">
        <v>82</v>
      </c>
      <c r="I87" s="17" t="s">
        <v>83</v>
      </c>
      <c r="J87" s="17" t="s">
        <v>76</v>
      </c>
      <c r="K87" s="17" t="s">
        <v>84</v>
      </c>
      <c r="L87" s="17" t="s">
        <v>85</v>
      </c>
      <c r="M87" s="17" t="s">
        <v>86</v>
      </c>
      <c r="N87" s="17" t="s">
        <v>87</v>
      </c>
      <c r="O87" s="17" t="s">
        <v>88</v>
      </c>
      <c r="P87" s="17" t="s">
        <v>89</v>
      </c>
      <c r="Q87" s="17" t="s">
        <v>79</v>
      </c>
      <c r="R87" s="17" t="s">
        <v>68</v>
      </c>
      <c r="S87" s="17" t="s">
        <v>69</v>
      </c>
      <c r="T87" s="17" t="s">
        <v>272</v>
      </c>
    </row>
    <row r="88" ht="22.5" customHeight="1">
      <c r="A88" s="16">
        <v>45735.56075767361</v>
      </c>
      <c r="B88" s="17" t="s">
        <v>175</v>
      </c>
      <c r="C88" s="17" t="s">
        <v>71</v>
      </c>
      <c r="D88" s="17" t="s">
        <v>54</v>
      </c>
      <c r="E88" s="17" t="s">
        <v>121</v>
      </c>
      <c r="F88" s="17" t="s">
        <v>97</v>
      </c>
      <c r="G88" s="17" t="s">
        <v>57</v>
      </c>
      <c r="H88" s="17" t="s">
        <v>113</v>
      </c>
      <c r="I88" s="17" t="s">
        <v>59</v>
      </c>
      <c r="J88" s="17" t="s">
        <v>76</v>
      </c>
      <c r="K88" s="17" t="s">
        <v>94</v>
      </c>
      <c r="L88" s="17" t="s">
        <v>123</v>
      </c>
      <c r="M88" s="17" t="s">
        <v>98</v>
      </c>
      <c r="N88" s="17" t="s">
        <v>64</v>
      </c>
      <c r="O88" s="17" t="s">
        <v>88</v>
      </c>
      <c r="P88" s="17" t="s">
        <v>66</v>
      </c>
      <c r="Q88" s="17" t="s">
        <v>105</v>
      </c>
      <c r="R88" s="17" t="s">
        <v>103</v>
      </c>
      <c r="S88" s="17" t="s">
        <v>69</v>
      </c>
      <c r="T88" s="17" t="s">
        <v>272</v>
      </c>
    </row>
    <row r="89" ht="22.5" customHeight="1">
      <c r="A89" s="16">
        <v>45735.54865002315</v>
      </c>
      <c r="B89" s="17" t="s">
        <v>201</v>
      </c>
      <c r="C89" s="17" t="s">
        <v>91</v>
      </c>
      <c r="D89" s="17" t="s">
        <v>81</v>
      </c>
      <c r="E89" s="17" t="s">
        <v>101</v>
      </c>
      <c r="F89" s="17" t="s">
        <v>97</v>
      </c>
      <c r="G89" s="17" t="s">
        <v>57</v>
      </c>
      <c r="H89" s="17" t="s">
        <v>92</v>
      </c>
      <c r="I89" s="17" t="s">
        <v>59</v>
      </c>
      <c r="J89" s="17" t="s">
        <v>76</v>
      </c>
      <c r="K89" s="17" t="s">
        <v>114</v>
      </c>
      <c r="L89" s="17" t="s">
        <v>85</v>
      </c>
      <c r="M89" s="17" t="s">
        <v>98</v>
      </c>
      <c r="N89" s="17" t="s">
        <v>107</v>
      </c>
      <c r="O89" s="17" t="s">
        <v>88</v>
      </c>
      <c r="P89" s="17" t="s">
        <v>117</v>
      </c>
      <c r="Q89" s="17" t="s">
        <v>79</v>
      </c>
      <c r="R89" s="17" t="s">
        <v>103</v>
      </c>
      <c r="S89" s="17" t="s">
        <v>69</v>
      </c>
      <c r="T89" s="17" t="s">
        <v>272</v>
      </c>
    </row>
    <row r="90" ht="22.5" customHeight="1">
      <c r="A90" s="16">
        <v>45735.544130462964</v>
      </c>
      <c r="B90" s="17" t="s">
        <v>118</v>
      </c>
      <c r="C90" s="17" t="s">
        <v>53</v>
      </c>
      <c r="D90" s="17" t="s">
        <v>54</v>
      </c>
      <c r="E90" s="17" t="s">
        <v>55</v>
      </c>
      <c r="F90" s="17" t="s">
        <v>97</v>
      </c>
      <c r="G90" s="17" t="s">
        <v>57</v>
      </c>
      <c r="H90" s="17" t="s">
        <v>92</v>
      </c>
      <c r="I90" s="17" t="s">
        <v>93</v>
      </c>
      <c r="J90" s="17" t="s">
        <v>76</v>
      </c>
      <c r="K90" s="17" t="s">
        <v>114</v>
      </c>
      <c r="L90" s="17" t="s">
        <v>62</v>
      </c>
      <c r="M90" s="17" t="s">
        <v>116</v>
      </c>
      <c r="N90" s="17" t="s">
        <v>64</v>
      </c>
      <c r="O90" s="17" t="s">
        <v>88</v>
      </c>
      <c r="P90" s="17" t="s">
        <v>117</v>
      </c>
      <c r="Q90" s="17" t="s">
        <v>105</v>
      </c>
      <c r="R90" s="17" t="s">
        <v>68</v>
      </c>
      <c r="S90" s="17" t="s">
        <v>119</v>
      </c>
      <c r="T90" s="17" t="s">
        <v>272</v>
      </c>
    </row>
    <row r="91" ht="22.5" customHeight="1">
      <c r="A91" s="16">
        <v>45735.52991614583</v>
      </c>
      <c r="B91" s="17" t="s">
        <v>186</v>
      </c>
      <c r="C91" s="17" t="s">
        <v>91</v>
      </c>
      <c r="D91" s="17" t="s">
        <v>54</v>
      </c>
      <c r="E91" s="17" t="s">
        <v>55</v>
      </c>
      <c r="F91" s="17" t="s">
        <v>56</v>
      </c>
      <c r="G91" s="17" t="s">
        <v>136</v>
      </c>
      <c r="H91" s="17" t="s">
        <v>58</v>
      </c>
      <c r="I91" s="17" t="s">
        <v>93</v>
      </c>
      <c r="J91" s="17" t="s">
        <v>76</v>
      </c>
      <c r="K91" s="17" t="s">
        <v>84</v>
      </c>
      <c r="L91" s="17" t="s">
        <v>85</v>
      </c>
      <c r="M91" s="17" t="s">
        <v>116</v>
      </c>
      <c r="N91" s="17" t="s">
        <v>138</v>
      </c>
      <c r="O91" s="17" t="s">
        <v>65</v>
      </c>
      <c r="P91" s="17" t="s">
        <v>66</v>
      </c>
      <c r="Q91" s="17" t="s">
        <v>79</v>
      </c>
      <c r="R91" s="17" t="s">
        <v>103</v>
      </c>
      <c r="S91" s="17" t="s">
        <v>69</v>
      </c>
      <c r="T91" s="17" t="s">
        <v>272</v>
      </c>
    </row>
    <row r="92" ht="22.5" customHeight="1">
      <c r="A92" s="16">
        <v>45735.50190780092</v>
      </c>
      <c r="B92" s="17" t="s">
        <v>135</v>
      </c>
      <c r="C92" s="17" t="s">
        <v>125</v>
      </c>
      <c r="D92" s="17" t="s">
        <v>54</v>
      </c>
      <c r="E92" s="17" t="s">
        <v>73</v>
      </c>
      <c r="F92" s="17" t="s">
        <v>56</v>
      </c>
      <c r="G92" s="17" t="s">
        <v>136</v>
      </c>
      <c r="H92" s="17" t="s">
        <v>92</v>
      </c>
      <c r="I92" s="17" t="s">
        <v>59</v>
      </c>
      <c r="J92" s="17" t="s">
        <v>76</v>
      </c>
      <c r="K92" s="17" t="s">
        <v>61</v>
      </c>
      <c r="L92" s="17" t="s">
        <v>85</v>
      </c>
      <c r="M92" s="17" t="s">
        <v>86</v>
      </c>
      <c r="N92" s="17" t="s">
        <v>87</v>
      </c>
      <c r="O92" s="17" t="s">
        <v>65</v>
      </c>
      <c r="P92" s="17" t="s">
        <v>117</v>
      </c>
      <c r="Q92" s="17" t="s">
        <v>129</v>
      </c>
      <c r="R92" s="17" t="s">
        <v>68</v>
      </c>
      <c r="S92" s="17" t="s">
        <v>69</v>
      </c>
      <c r="T92" s="17" t="s">
        <v>272</v>
      </c>
    </row>
    <row r="93" ht="22.5" customHeight="1">
      <c r="A93" s="16">
        <v>45735.46689469907</v>
      </c>
      <c r="B93" s="17" t="s">
        <v>149</v>
      </c>
      <c r="C93" s="17" t="s">
        <v>53</v>
      </c>
      <c r="D93" s="17" t="s">
        <v>81</v>
      </c>
      <c r="E93" s="17" t="s">
        <v>55</v>
      </c>
      <c r="F93" s="17" t="s">
        <v>74</v>
      </c>
      <c r="G93" s="17" t="s">
        <v>57</v>
      </c>
      <c r="H93" s="17" t="s">
        <v>58</v>
      </c>
      <c r="I93" s="17" t="s">
        <v>75</v>
      </c>
      <c r="J93" s="17" t="s">
        <v>76</v>
      </c>
      <c r="K93" s="17" t="s">
        <v>84</v>
      </c>
      <c r="L93" s="17" t="s">
        <v>85</v>
      </c>
      <c r="M93" s="17" t="s">
        <v>116</v>
      </c>
      <c r="N93" s="17" t="s">
        <v>64</v>
      </c>
      <c r="O93" s="17" t="s">
        <v>88</v>
      </c>
      <c r="P93" s="17" t="s">
        <v>66</v>
      </c>
      <c r="Q93" s="17" t="s">
        <v>67</v>
      </c>
      <c r="R93" s="17" t="s">
        <v>103</v>
      </c>
      <c r="S93" s="17" t="s">
        <v>69</v>
      </c>
      <c r="T93" s="17" t="s">
        <v>272</v>
      </c>
    </row>
    <row r="94" ht="22.5" customHeight="1">
      <c r="A94" s="16">
        <v>45735.46190825231</v>
      </c>
      <c r="B94" s="17" t="s">
        <v>193</v>
      </c>
      <c r="C94" s="17" t="s">
        <v>71</v>
      </c>
      <c r="D94" s="17" t="s">
        <v>81</v>
      </c>
      <c r="E94" s="17" t="s">
        <v>121</v>
      </c>
      <c r="F94" s="17" t="s">
        <v>142</v>
      </c>
      <c r="G94" s="17" t="s">
        <v>132</v>
      </c>
      <c r="H94" s="17" t="s">
        <v>113</v>
      </c>
      <c r="I94" s="17" t="s">
        <v>83</v>
      </c>
      <c r="J94" s="17" t="s">
        <v>126</v>
      </c>
      <c r="K94" s="17" t="s">
        <v>114</v>
      </c>
      <c r="L94" s="17" t="s">
        <v>62</v>
      </c>
      <c r="M94" s="17" t="s">
        <v>63</v>
      </c>
      <c r="N94" s="17" t="s">
        <v>87</v>
      </c>
      <c r="O94" s="17" t="s">
        <v>88</v>
      </c>
      <c r="P94" s="17" t="s">
        <v>78</v>
      </c>
      <c r="Q94" s="17" t="s">
        <v>67</v>
      </c>
      <c r="R94" s="17" t="s">
        <v>95</v>
      </c>
      <c r="S94" s="17" t="s">
        <v>69</v>
      </c>
      <c r="T94" s="17" t="s">
        <v>272</v>
      </c>
    </row>
    <row r="95" ht="22.5" customHeight="1">
      <c r="A95" s="16">
        <v>45735.45154299769</v>
      </c>
      <c r="B95" s="17" t="s">
        <v>211</v>
      </c>
      <c r="C95" s="17" t="s">
        <v>71</v>
      </c>
      <c r="D95" s="17" t="s">
        <v>72</v>
      </c>
      <c r="E95" s="17" t="s">
        <v>101</v>
      </c>
      <c r="F95" s="17" t="s">
        <v>142</v>
      </c>
      <c r="G95" s="17" t="s">
        <v>102</v>
      </c>
      <c r="H95" s="17" t="s">
        <v>82</v>
      </c>
      <c r="I95" s="17" t="s">
        <v>93</v>
      </c>
      <c r="J95" s="17" t="s">
        <v>126</v>
      </c>
      <c r="K95" s="17" t="s">
        <v>84</v>
      </c>
      <c r="L95" s="17" t="s">
        <v>123</v>
      </c>
      <c r="M95" s="17" t="s">
        <v>86</v>
      </c>
      <c r="N95" s="17" t="s">
        <v>107</v>
      </c>
      <c r="O95" s="17" t="s">
        <v>77</v>
      </c>
      <c r="P95" s="17" t="s">
        <v>66</v>
      </c>
      <c r="Q95" s="17" t="s">
        <v>105</v>
      </c>
      <c r="R95" s="17" t="s">
        <v>68</v>
      </c>
      <c r="S95" s="17" t="s">
        <v>69</v>
      </c>
      <c r="T95" s="17" t="s">
        <v>272</v>
      </c>
    </row>
    <row r="96" ht="22.5" customHeight="1">
      <c r="A96" s="16">
        <v>45735.447252881946</v>
      </c>
      <c r="B96" s="17" t="s">
        <v>239</v>
      </c>
      <c r="C96" s="17" t="s">
        <v>125</v>
      </c>
      <c r="D96" s="17" t="s">
        <v>109</v>
      </c>
      <c r="E96" s="17" t="s">
        <v>101</v>
      </c>
      <c r="F96" s="17" t="s">
        <v>56</v>
      </c>
      <c r="G96" s="17" t="s">
        <v>57</v>
      </c>
      <c r="H96" s="17" t="s">
        <v>113</v>
      </c>
      <c r="I96" s="17" t="s">
        <v>83</v>
      </c>
      <c r="J96" s="17" t="s">
        <v>126</v>
      </c>
      <c r="K96" s="17" t="s">
        <v>94</v>
      </c>
      <c r="L96" s="17" t="s">
        <v>123</v>
      </c>
      <c r="M96" s="17" t="s">
        <v>116</v>
      </c>
      <c r="N96" s="17" t="s">
        <v>64</v>
      </c>
      <c r="O96" s="17" t="s">
        <v>77</v>
      </c>
      <c r="P96" s="17" t="s">
        <v>117</v>
      </c>
      <c r="Q96" s="17" t="s">
        <v>129</v>
      </c>
      <c r="R96" s="17" t="s">
        <v>103</v>
      </c>
      <c r="S96" s="17" t="s">
        <v>69</v>
      </c>
      <c r="T96" s="17" t="s">
        <v>272</v>
      </c>
    </row>
    <row r="97" ht="22.5" customHeight="1">
      <c r="A97" s="16">
        <v>45735.44193836805</v>
      </c>
      <c r="B97" s="17" t="s">
        <v>124</v>
      </c>
      <c r="C97" s="17" t="s">
        <v>125</v>
      </c>
      <c r="D97" s="17" t="s">
        <v>54</v>
      </c>
      <c r="E97" s="17" t="s">
        <v>55</v>
      </c>
      <c r="F97" s="17" t="s">
        <v>97</v>
      </c>
      <c r="G97" s="17" t="s">
        <v>102</v>
      </c>
      <c r="H97" s="17" t="s">
        <v>82</v>
      </c>
      <c r="I97" s="17" t="s">
        <v>83</v>
      </c>
      <c r="J97" s="17" t="s">
        <v>126</v>
      </c>
      <c r="K97" s="17" t="s">
        <v>61</v>
      </c>
      <c r="L97" s="17" t="s">
        <v>85</v>
      </c>
      <c r="M97" s="17" t="s">
        <v>86</v>
      </c>
      <c r="N97" s="17" t="s">
        <v>64</v>
      </c>
      <c r="O97" s="17" t="s">
        <v>88</v>
      </c>
      <c r="P97" s="17" t="s">
        <v>89</v>
      </c>
      <c r="Q97" s="17" t="s">
        <v>67</v>
      </c>
      <c r="R97" s="17" t="s">
        <v>99</v>
      </c>
      <c r="S97" s="17" t="s">
        <v>69</v>
      </c>
      <c r="T97" s="17" t="s">
        <v>272</v>
      </c>
    </row>
    <row r="98" ht="22.5" customHeight="1">
      <c r="A98" s="16">
        <v>45735.43511715278</v>
      </c>
      <c r="B98" s="17" t="s">
        <v>222</v>
      </c>
      <c r="C98" s="17" t="s">
        <v>53</v>
      </c>
      <c r="D98" s="17" t="s">
        <v>54</v>
      </c>
      <c r="E98" s="17" t="s">
        <v>121</v>
      </c>
      <c r="F98" s="17" t="s">
        <v>97</v>
      </c>
      <c r="G98" s="17" t="s">
        <v>132</v>
      </c>
      <c r="H98" s="17" t="s">
        <v>113</v>
      </c>
      <c r="I98" s="17" t="s">
        <v>83</v>
      </c>
      <c r="J98" s="17" t="s">
        <v>76</v>
      </c>
      <c r="K98" s="17" t="s">
        <v>94</v>
      </c>
      <c r="L98" s="17" t="s">
        <v>62</v>
      </c>
      <c r="M98" s="17" t="s">
        <v>116</v>
      </c>
      <c r="N98" s="17" t="s">
        <v>107</v>
      </c>
      <c r="O98" s="17" t="s">
        <v>88</v>
      </c>
      <c r="P98" s="17" t="s">
        <v>89</v>
      </c>
      <c r="Q98" s="17" t="s">
        <v>129</v>
      </c>
      <c r="R98" s="17" t="s">
        <v>99</v>
      </c>
      <c r="S98" s="17" t="s">
        <v>69</v>
      </c>
      <c r="T98" s="17" t="s">
        <v>272</v>
      </c>
    </row>
    <row r="99" ht="22.5" customHeight="1">
      <c r="A99" s="16">
        <v>45735.417994143514</v>
      </c>
      <c r="B99" s="17" t="s">
        <v>230</v>
      </c>
      <c r="C99" s="17" t="s">
        <v>53</v>
      </c>
      <c r="D99" s="17" t="s">
        <v>81</v>
      </c>
      <c r="E99" s="17" t="s">
        <v>101</v>
      </c>
      <c r="F99" s="17" t="s">
        <v>56</v>
      </c>
      <c r="G99" s="17" t="s">
        <v>57</v>
      </c>
      <c r="H99" s="17" t="s">
        <v>113</v>
      </c>
      <c r="I99" s="17" t="s">
        <v>83</v>
      </c>
      <c r="J99" s="17" t="s">
        <v>76</v>
      </c>
      <c r="K99" s="17" t="s">
        <v>114</v>
      </c>
      <c r="L99" s="17" t="s">
        <v>85</v>
      </c>
      <c r="M99" s="17" t="s">
        <v>116</v>
      </c>
      <c r="N99" s="17" t="s">
        <v>138</v>
      </c>
      <c r="O99" s="17" t="s">
        <v>77</v>
      </c>
      <c r="P99" s="17" t="s">
        <v>117</v>
      </c>
      <c r="Q99" s="17" t="s">
        <v>67</v>
      </c>
      <c r="R99" s="17" t="s">
        <v>99</v>
      </c>
      <c r="S99" s="17" t="s">
        <v>69</v>
      </c>
      <c r="T99" s="17" t="s">
        <v>272</v>
      </c>
    </row>
    <row r="100" ht="22.5" customHeight="1">
      <c r="A100" s="16">
        <v>45735.4060805787</v>
      </c>
      <c r="B100" s="17" t="s">
        <v>233</v>
      </c>
      <c r="C100" s="17" t="s">
        <v>71</v>
      </c>
      <c r="D100" s="17" t="s">
        <v>54</v>
      </c>
      <c r="E100" s="17" t="s">
        <v>55</v>
      </c>
      <c r="F100" s="17" t="s">
        <v>142</v>
      </c>
      <c r="G100" s="17" t="s">
        <v>132</v>
      </c>
      <c r="H100" s="17" t="s">
        <v>92</v>
      </c>
      <c r="I100" s="17" t="s">
        <v>93</v>
      </c>
      <c r="J100" s="17" t="s">
        <v>126</v>
      </c>
      <c r="K100" s="17" t="s">
        <v>114</v>
      </c>
      <c r="L100" s="17" t="s">
        <v>123</v>
      </c>
      <c r="M100" s="17" t="s">
        <v>116</v>
      </c>
      <c r="N100" s="17" t="s">
        <v>138</v>
      </c>
      <c r="O100" s="17" t="s">
        <v>110</v>
      </c>
      <c r="P100" s="17" t="s">
        <v>66</v>
      </c>
      <c r="Q100" s="17" t="s">
        <v>79</v>
      </c>
      <c r="R100" s="17" t="s">
        <v>99</v>
      </c>
      <c r="S100" s="17" t="s">
        <v>69</v>
      </c>
      <c r="T100" s="17" t="s">
        <v>272</v>
      </c>
    </row>
    <row r="101" ht="22.5" customHeight="1">
      <c r="A101" s="16">
        <v>45735.397195011574</v>
      </c>
      <c r="B101" s="17" t="s">
        <v>160</v>
      </c>
      <c r="C101" s="17" t="s">
        <v>71</v>
      </c>
      <c r="D101" s="17" t="s">
        <v>72</v>
      </c>
      <c r="E101" s="17" t="s">
        <v>55</v>
      </c>
      <c r="F101" s="17" t="s">
        <v>142</v>
      </c>
      <c r="G101" s="17" t="s">
        <v>132</v>
      </c>
      <c r="H101" s="17" t="s">
        <v>82</v>
      </c>
      <c r="I101" s="17" t="s">
        <v>75</v>
      </c>
      <c r="J101" s="17" t="s">
        <v>76</v>
      </c>
      <c r="K101" s="17" t="s">
        <v>94</v>
      </c>
      <c r="L101" s="17" t="s">
        <v>62</v>
      </c>
      <c r="M101" s="17" t="s">
        <v>98</v>
      </c>
      <c r="N101" s="17" t="s">
        <v>107</v>
      </c>
      <c r="O101" s="17" t="s">
        <v>77</v>
      </c>
      <c r="P101" s="17" t="s">
        <v>78</v>
      </c>
      <c r="Q101" s="17" t="s">
        <v>129</v>
      </c>
      <c r="R101" s="17" t="s">
        <v>95</v>
      </c>
      <c r="S101" s="17" t="s">
        <v>69</v>
      </c>
      <c r="T101" s="17" t="s">
        <v>272</v>
      </c>
    </row>
    <row r="102" ht="22.5" customHeight="1">
      <c r="A102" s="16">
        <v>45735.268200289356</v>
      </c>
      <c r="B102" s="17" t="s">
        <v>235</v>
      </c>
      <c r="C102" s="17" t="s">
        <v>53</v>
      </c>
      <c r="D102" s="17" t="s">
        <v>109</v>
      </c>
      <c r="E102" s="17" t="s">
        <v>73</v>
      </c>
      <c r="F102" s="17" t="s">
        <v>97</v>
      </c>
      <c r="G102" s="17" t="s">
        <v>132</v>
      </c>
      <c r="H102" s="17" t="s">
        <v>92</v>
      </c>
      <c r="I102" s="17" t="s">
        <v>75</v>
      </c>
      <c r="J102" s="17" t="s">
        <v>188</v>
      </c>
      <c r="K102" s="17" t="s">
        <v>61</v>
      </c>
      <c r="L102" s="17" t="s">
        <v>62</v>
      </c>
      <c r="M102" s="17" t="s">
        <v>98</v>
      </c>
      <c r="N102" s="17" t="s">
        <v>107</v>
      </c>
      <c r="O102" s="17" t="s">
        <v>77</v>
      </c>
      <c r="P102" s="17" t="s">
        <v>89</v>
      </c>
      <c r="Q102" s="17" t="s">
        <v>129</v>
      </c>
      <c r="R102" s="17" t="s">
        <v>103</v>
      </c>
      <c r="S102" s="17" t="s">
        <v>69</v>
      </c>
      <c r="T102" s="17" t="s">
        <v>272</v>
      </c>
    </row>
    <row r="103" ht="22.5" customHeight="1">
      <c r="A103" s="16">
        <v>45734.937915393515</v>
      </c>
      <c r="B103" s="17" t="s">
        <v>206</v>
      </c>
      <c r="C103" s="17" t="s">
        <v>91</v>
      </c>
      <c r="D103" s="17" t="s">
        <v>54</v>
      </c>
      <c r="E103" s="17" t="s">
        <v>55</v>
      </c>
      <c r="F103" s="17" t="s">
        <v>56</v>
      </c>
      <c r="G103" s="17" t="s">
        <v>57</v>
      </c>
      <c r="H103" s="17" t="s">
        <v>113</v>
      </c>
      <c r="I103" s="17" t="s">
        <v>75</v>
      </c>
      <c r="J103" s="17" t="s">
        <v>126</v>
      </c>
      <c r="K103" s="17" t="s">
        <v>61</v>
      </c>
      <c r="L103" s="17" t="s">
        <v>154</v>
      </c>
      <c r="M103" s="17" t="s">
        <v>98</v>
      </c>
      <c r="N103" s="17" t="s">
        <v>64</v>
      </c>
      <c r="O103" s="17" t="s">
        <v>88</v>
      </c>
      <c r="P103" s="17" t="s">
        <v>66</v>
      </c>
      <c r="Q103" s="17" t="s">
        <v>105</v>
      </c>
      <c r="R103" s="17" t="s">
        <v>95</v>
      </c>
      <c r="S103" s="17" t="s">
        <v>69</v>
      </c>
      <c r="T103" s="17" t="s">
        <v>272</v>
      </c>
    </row>
    <row r="104" ht="22.5" customHeight="1">
      <c r="A104" s="16">
        <v>45734.91959895834</v>
      </c>
      <c r="B104" s="17" t="s">
        <v>169</v>
      </c>
      <c r="C104" s="17" t="s">
        <v>53</v>
      </c>
      <c r="D104" s="17" t="s">
        <v>81</v>
      </c>
      <c r="E104" s="17" t="s">
        <v>101</v>
      </c>
      <c r="F104" s="17" t="s">
        <v>74</v>
      </c>
      <c r="G104" s="17" t="s">
        <v>136</v>
      </c>
      <c r="H104" s="17" t="s">
        <v>82</v>
      </c>
      <c r="I104" s="17" t="s">
        <v>93</v>
      </c>
      <c r="J104" s="17" t="s">
        <v>76</v>
      </c>
      <c r="K104" s="17" t="s">
        <v>94</v>
      </c>
      <c r="L104" s="17" t="s">
        <v>154</v>
      </c>
      <c r="M104" s="17" t="s">
        <v>86</v>
      </c>
      <c r="N104" s="17" t="s">
        <v>64</v>
      </c>
      <c r="O104" s="17" t="s">
        <v>88</v>
      </c>
      <c r="P104" s="17" t="s">
        <v>66</v>
      </c>
      <c r="Q104" s="17" t="s">
        <v>79</v>
      </c>
      <c r="R104" s="17" t="s">
        <v>95</v>
      </c>
      <c r="S104" s="17" t="s">
        <v>69</v>
      </c>
      <c r="T104" s="17" t="s">
        <v>272</v>
      </c>
    </row>
    <row r="105" ht="22.5" customHeight="1">
      <c r="A105" s="16">
        <v>45734.87317582176</v>
      </c>
      <c r="B105" s="17" t="s">
        <v>111</v>
      </c>
      <c r="C105" s="17" t="s">
        <v>71</v>
      </c>
      <c r="D105" s="17" t="s">
        <v>81</v>
      </c>
      <c r="E105" s="17" t="s">
        <v>73</v>
      </c>
      <c r="F105" s="17" t="s">
        <v>74</v>
      </c>
      <c r="G105" s="17" t="s">
        <v>102</v>
      </c>
      <c r="H105" s="17" t="s">
        <v>82</v>
      </c>
      <c r="I105" s="17" t="s">
        <v>59</v>
      </c>
      <c r="J105" s="17" t="s">
        <v>76</v>
      </c>
      <c r="K105" s="17" t="s">
        <v>94</v>
      </c>
      <c r="L105" s="17" t="s">
        <v>85</v>
      </c>
      <c r="M105" s="17" t="s">
        <v>86</v>
      </c>
      <c r="N105" s="17" t="s">
        <v>107</v>
      </c>
      <c r="O105" s="17" t="s">
        <v>88</v>
      </c>
      <c r="P105" s="17" t="s">
        <v>89</v>
      </c>
      <c r="Q105" s="17" t="s">
        <v>67</v>
      </c>
      <c r="R105" s="17" t="s">
        <v>95</v>
      </c>
      <c r="S105" s="17" t="s">
        <v>69</v>
      </c>
      <c r="T105" s="17" t="s">
        <v>272</v>
      </c>
    </row>
    <row r="106" ht="22.5" customHeight="1">
      <c r="A106" s="16">
        <v>45734.86523940972</v>
      </c>
      <c r="B106" s="17" t="s">
        <v>205</v>
      </c>
      <c r="C106" s="17" t="s">
        <v>125</v>
      </c>
      <c r="D106" s="17" t="s">
        <v>109</v>
      </c>
      <c r="E106" s="17" t="s">
        <v>101</v>
      </c>
      <c r="F106" s="17" t="s">
        <v>97</v>
      </c>
      <c r="G106" s="17" t="s">
        <v>132</v>
      </c>
      <c r="H106" s="17" t="s">
        <v>92</v>
      </c>
      <c r="I106" s="17" t="s">
        <v>59</v>
      </c>
      <c r="J106" s="17" t="s">
        <v>60</v>
      </c>
      <c r="K106" s="17" t="s">
        <v>61</v>
      </c>
      <c r="L106" s="17" t="s">
        <v>62</v>
      </c>
      <c r="M106" s="17" t="s">
        <v>98</v>
      </c>
      <c r="N106" s="17" t="s">
        <v>107</v>
      </c>
      <c r="O106" s="17" t="s">
        <v>88</v>
      </c>
      <c r="P106" s="17" t="s">
        <v>117</v>
      </c>
      <c r="Q106" s="17" t="s">
        <v>79</v>
      </c>
      <c r="R106" s="17" t="s">
        <v>103</v>
      </c>
      <c r="S106" s="17" t="s">
        <v>69</v>
      </c>
      <c r="T106" s="17" t="s">
        <v>272</v>
      </c>
    </row>
    <row r="107" ht="22.5" customHeight="1">
      <c r="A107" s="16">
        <v>45734.84460431713</v>
      </c>
      <c r="B107" s="17" t="s">
        <v>174</v>
      </c>
      <c r="C107" s="17" t="s">
        <v>71</v>
      </c>
      <c r="D107" s="17" t="s">
        <v>81</v>
      </c>
      <c r="E107" s="17" t="s">
        <v>101</v>
      </c>
      <c r="F107" s="17" t="s">
        <v>97</v>
      </c>
      <c r="G107" s="17" t="s">
        <v>57</v>
      </c>
      <c r="H107" s="17" t="s">
        <v>113</v>
      </c>
      <c r="I107" s="17" t="s">
        <v>93</v>
      </c>
      <c r="J107" s="17" t="s">
        <v>76</v>
      </c>
      <c r="K107" s="17" t="s">
        <v>114</v>
      </c>
      <c r="L107" s="17" t="s">
        <v>85</v>
      </c>
      <c r="M107" s="17" t="s">
        <v>98</v>
      </c>
      <c r="N107" s="17" t="s">
        <v>64</v>
      </c>
      <c r="O107" s="17" t="s">
        <v>88</v>
      </c>
      <c r="P107" s="17" t="s">
        <v>66</v>
      </c>
      <c r="Q107" s="17" t="s">
        <v>129</v>
      </c>
      <c r="R107" s="17" t="s">
        <v>95</v>
      </c>
      <c r="S107" s="17" t="s">
        <v>69</v>
      </c>
      <c r="T107" s="17" t="s">
        <v>272</v>
      </c>
    </row>
    <row r="108" ht="22.5" customHeight="1">
      <c r="A108" s="16">
        <v>45734.830309375</v>
      </c>
      <c r="B108" s="17" t="s">
        <v>224</v>
      </c>
      <c r="C108" s="17" t="s">
        <v>71</v>
      </c>
      <c r="D108" s="17" t="s">
        <v>72</v>
      </c>
      <c r="E108" s="17" t="s">
        <v>55</v>
      </c>
      <c r="F108" s="17" t="s">
        <v>74</v>
      </c>
      <c r="G108" s="17" t="s">
        <v>57</v>
      </c>
      <c r="H108" s="17" t="s">
        <v>113</v>
      </c>
      <c r="I108" s="17" t="s">
        <v>75</v>
      </c>
      <c r="J108" s="17" t="s">
        <v>126</v>
      </c>
      <c r="K108" s="17" t="s">
        <v>84</v>
      </c>
      <c r="L108" s="17" t="s">
        <v>154</v>
      </c>
      <c r="M108" s="17" t="s">
        <v>116</v>
      </c>
      <c r="N108" s="17" t="s">
        <v>138</v>
      </c>
      <c r="O108" s="17" t="s">
        <v>110</v>
      </c>
      <c r="P108" s="17" t="s">
        <v>66</v>
      </c>
      <c r="Q108" s="17" t="s">
        <v>79</v>
      </c>
      <c r="R108" s="17" t="s">
        <v>95</v>
      </c>
      <c r="S108" s="17" t="s">
        <v>69</v>
      </c>
      <c r="T108" s="17" t="s">
        <v>272</v>
      </c>
    </row>
    <row r="109" ht="22.5" customHeight="1">
      <c r="A109" s="16">
        <v>45734.81437482639</v>
      </c>
      <c r="B109" s="17" t="s">
        <v>166</v>
      </c>
      <c r="C109" s="17" t="s">
        <v>71</v>
      </c>
      <c r="D109" s="17" t="s">
        <v>109</v>
      </c>
      <c r="E109" s="17" t="s">
        <v>73</v>
      </c>
      <c r="F109" s="17" t="s">
        <v>97</v>
      </c>
      <c r="G109" s="17" t="s">
        <v>102</v>
      </c>
      <c r="H109" s="17" t="s">
        <v>82</v>
      </c>
      <c r="I109" s="17" t="s">
        <v>59</v>
      </c>
      <c r="J109" s="17" t="s">
        <v>60</v>
      </c>
      <c r="K109" s="17" t="s">
        <v>94</v>
      </c>
      <c r="L109" s="17" t="s">
        <v>123</v>
      </c>
      <c r="M109" s="17" t="s">
        <v>86</v>
      </c>
      <c r="N109" s="17" t="s">
        <v>107</v>
      </c>
      <c r="O109" s="17" t="s">
        <v>77</v>
      </c>
      <c r="P109" s="17" t="s">
        <v>78</v>
      </c>
      <c r="Q109" s="17" t="s">
        <v>79</v>
      </c>
      <c r="R109" s="17" t="s">
        <v>103</v>
      </c>
      <c r="S109" s="17" t="s">
        <v>69</v>
      </c>
      <c r="T109" s="17" t="s">
        <v>272</v>
      </c>
    </row>
    <row r="110" ht="22.5" customHeight="1">
      <c r="A110" s="16">
        <v>45734.68576100694</v>
      </c>
      <c r="B110" s="17" t="s">
        <v>127</v>
      </c>
      <c r="C110" s="17" t="s">
        <v>53</v>
      </c>
      <c r="D110" s="17" t="s">
        <v>54</v>
      </c>
      <c r="E110" s="17" t="s">
        <v>121</v>
      </c>
      <c r="F110" s="17" t="s">
        <v>74</v>
      </c>
      <c r="G110" s="17" t="s">
        <v>102</v>
      </c>
      <c r="H110" s="17" t="s">
        <v>58</v>
      </c>
      <c r="I110" s="17" t="s">
        <v>59</v>
      </c>
      <c r="J110" s="17" t="s">
        <v>76</v>
      </c>
      <c r="K110" s="17" t="s">
        <v>61</v>
      </c>
      <c r="L110" s="17" t="s">
        <v>62</v>
      </c>
      <c r="M110" s="17" t="s">
        <v>63</v>
      </c>
      <c r="N110" s="17" t="s">
        <v>64</v>
      </c>
      <c r="O110" s="17" t="s">
        <v>88</v>
      </c>
      <c r="P110" s="17" t="s">
        <v>66</v>
      </c>
      <c r="Q110" s="17" t="s">
        <v>79</v>
      </c>
      <c r="R110" s="17" t="s">
        <v>68</v>
      </c>
      <c r="S110" s="17" t="s">
        <v>69</v>
      </c>
      <c r="T110" s="17" t="s">
        <v>272</v>
      </c>
    </row>
    <row r="111" ht="22.5" customHeight="1">
      <c r="A111" s="16">
        <v>45734.659682743055</v>
      </c>
      <c r="B111" s="17" t="s">
        <v>134</v>
      </c>
      <c r="C111" s="17" t="s">
        <v>71</v>
      </c>
      <c r="D111" s="17" t="s">
        <v>72</v>
      </c>
      <c r="E111" s="17" t="s">
        <v>55</v>
      </c>
      <c r="F111" s="17" t="s">
        <v>97</v>
      </c>
      <c r="G111" s="17" t="s">
        <v>132</v>
      </c>
      <c r="H111" s="17" t="s">
        <v>92</v>
      </c>
      <c r="I111" s="17" t="s">
        <v>59</v>
      </c>
      <c r="J111" s="17" t="s">
        <v>76</v>
      </c>
      <c r="K111" s="17" t="s">
        <v>61</v>
      </c>
      <c r="L111" s="17" t="s">
        <v>62</v>
      </c>
      <c r="M111" s="17" t="s">
        <v>116</v>
      </c>
      <c r="N111" s="17" t="s">
        <v>107</v>
      </c>
      <c r="O111" s="17" t="s">
        <v>88</v>
      </c>
      <c r="P111" s="17" t="s">
        <v>89</v>
      </c>
      <c r="Q111" s="17" t="s">
        <v>79</v>
      </c>
      <c r="R111" s="17" t="s">
        <v>95</v>
      </c>
      <c r="S111" s="17" t="s">
        <v>69</v>
      </c>
      <c r="T111" s="17" t="s">
        <v>272</v>
      </c>
    </row>
    <row r="112" ht="22.5" customHeight="1">
      <c r="A112" s="16">
        <v>45734.64896361111</v>
      </c>
      <c r="B112" s="17" t="s">
        <v>240</v>
      </c>
      <c r="C112" s="17" t="s">
        <v>125</v>
      </c>
      <c r="D112" s="17" t="s">
        <v>109</v>
      </c>
      <c r="E112" s="17" t="s">
        <v>101</v>
      </c>
      <c r="F112" s="17" t="s">
        <v>56</v>
      </c>
      <c r="G112" s="17" t="s">
        <v>57</v>
      </c>
      <c r="H112" s="17" t="s">
        <v>113</v>
      </c>
      <c r="I112" s="17" t="s">
        <v>75</v>
      </c>
      <c r="J112" s="17" t="s">
        <v>76</v>
      </c>
      <c r="K112" s="17" t="s">
        <v>84</v>
      </c>
      <c r="L112" s="17" t="s">
        <v>154</v>
      </c>
      <c r="M112" s="17" t="s">
        <v>116</v>
      </c>
      <c r="N112" s="17" t="s">
        <v>87</v>
      </c>
      <c r="O112" s="17" t="s">
        <v>88</v>
      </c>
      <c r="P112" s="17" t="s">
        <v>66</v>
      </c>
      <c r="Q112" s="17" t="s">
        <v>129</v>
      </c>
      <c r="R112" s="17" t="s">
        <v>68</v>
      </c>
      <c r="S112" s="17" t="s">
        <v>69</v>
      </c>
      <c r="T112" s="17" t="s">
        <v>272</v>
      </c>
    </row>
    <row r="113" ht="22.5" customHeight="1">
      <c r="A113" s="16">
        <v>45734.61340315972</v>
      </c>
      <c r="B113" s="17" t="s">
        <v>144</v>
      </c>
      <c r="C113" s="17" t="s">
        <v>125</v>
      </c>
      <c r="D113" s="17" t="s">
        <v>54</v>
      </c>
      <c r="E113" s="17" t="s">
        <v>73</v>
      </c>
      <c r="F113" s="17" t="s">
        <v>142</v>
      </c>
      <c r="G113" s="17" t="s">
        <v>102</v>
      </c>
      <c r="H113" s="17" t="s">
        <v>82</v>
      </c>
      <c r="I113" s="17" t="s">
        <v>59</v>
      </c>
      <c r="J113" s="17" t="s">
        <v>60</v>
      </c>
      <c r="K113" s="17" t="s">
        <v>61</v>
      </c>
      <c r="L113" s="17" t="s">
        <v>85</v>
      </c>
      <c r="M113" s="17" t="s">
        <v>98</v>
      </c>
      <c r="N113" s="17" t="s">
        <v>64</v>
      </c>
      <c r="O113" s="17" t="s">
        <v>65</v>
      </c>
      <c r="P113" s="17" t="s">
        <v>78</v>
      </c>
      <c r="Q113" s="17" t="s">
        <v>67</v>
      </c>
      <c r="R113" s="17" t="s">
        <v>103</v>
      </c>
      <c r="S113" s="17" t="s">
        <v>69</v>
      </c>
      <c r="T113" s="17" t="s">
        <v>272</v>
      </c>
    </row>
    <row r="114" ht="22.5" customHeight="1">
      <c r="A114" s="16">
        <v>45734.60680609954</v>
      </c>
      <c r="B114" s="17" t="s">
        <v>168</v>
      </c>
      <c r="C114" s="17" t="s">
        <v>91</v>
      </c>
      <c r="D114" s="17" t="s">
        <v>72</v>
      </c>
      <c r="E114" s="17" t="s">
        <v>55</v>
      </c>
      <c r="F114" s="17" t="s">
        <v>74</v>
      </c>
      <c r="G114" s="17" t="s">
        <v>57</v>
      </c>
      <c r="H114" s="17" t="s">
        <v>92</v>
      </c>
      <c r="I114" s="17" t="s">
        <v>75</v>
      </c>
      <c r="J114" s="17" t="s">
        <v>126</v>
      </c>
      <c r="K114" s="17" t="s">
        <v>61</v>
      </c>
      <c r="L114" s="17" t="s">
        <v>62</v>
      </c>
      <c r="M114" s="17" t="s">
        <v>98</v>
      </c>
      <c r="N114" s="17" t="s">
        <v>107</v>
      </c>
      <c r="O114" s="17" t="s">
        <v>88</v>
      </c>
      <c r="P114" s="17" t="s">
        <v>89</v>
      </c>
      <c r="Q114" s="17" t="s">
        <v>129</v>
      </c>
      <c r="R114" s="17" t="s">
        <v>103</v>
      </c>
      <c r="S114" s="17" t="s">
        <v>69</v>
      </c>
      <c r="T114" s="17" t="s">
        <v>272</v>
      </c>
    </row>
    <row r="115" ht="22.5" customHeight="1">
      <c r="A115" s="16">
        <v>45734.59581965278</v>
      </c>
      <c r="B115" s="17" t="s">
        <v>203</v>
      </c>
      <c r="C115" s="17" t="s">
        <v>53</v>
      </c>
      <c r="D115" s="17" t="s">
        <v>81</v>
      </c>
      <c r="E115" s="17" t="s">
        <v>55</v>
      </c>
      <c r="F115" s="17" t="s">
        <v>56</v>
      </c>
      <c r="G115" s="17" t="s">
        <v>132</v>
      </c>
      <c r="H115" s="17" t="s">
        <v>82</v>
      </c>
      <c r="I115" s="17" t="s">
        <v>83</v>
      </c>
      <c r="J115" s="17" t="s">
        <v>126</v>
      </c>
      <c r="K115" s="17" t="s">
        <v>94</v>
      </c>
      <c r="L115" s="17" t="s">
        <v>123</v>
      </c>
      <c r="M115" s="17" t="s">
        <v>98</v>
      </c>
      <c r="N115" s="17" t="s">
        <v>64</v>
      </c>
      <c r="O115" s="17" t="s">
        <v>77</v>
      </c>
      <c r="P115" s="17" t="s">
        <v>66</v>
      </c>
      <c r="Q115" s="17" t="s">
        <v>67</v>
      </c>
      <c r="R115" s="17" t="s">
        <v>68</v>
      </c>
      <c r="S115" s="17" t="s">
        <v>69</v>
      </c>
      <c r="T115" s="17" t="s">
        <v>272</v>
      </c>
    </row>
    <row r="116" ht="22.5" customHeight="1">
      <c r="A116" s="16">
        <v>45734.57694185185</v>
      </c>
      <c r="B116" s="17" t="s">
        <v>122</v>
      </c>
      <c r="C116" s="17" t="s">
        <v>71</v>
      </c>
      <c r="D116" s="17" t="s">
        <v>54</v>
      </c>
      <c r="E116" s="17" t="s">
        <v>55</v>
      </c>
      <c r="F116" s="17" t="s">
        <v>97</v>
      </c>
      <c r="G116" s="17" t="s">
        <v>57</v>
      </c>
      <c r="H116" s="17" t="s">
        <v>82</v>
      </c>
      <c r="I116" s="17" t="s">
        <v>75</v>
      </c>
      <c r="J116" s="17" t="s">
        <v>76</v>
      </c>
      <c r="K116" s="17" t="s">
        <v>61</v>
      </c>
      <c r="L116" s="17" t="s">
        <v>123</v>
      </c>
      <c r="M116" s="17" t="s">
        <v>98</v>
      </c>
      <c r="N116" s="17" t="s">
        <v>64</v>
      </c>
      <c r="O116" s="17" t="s">
        <v>77</v>
      </c>
      <c r="P116" s="17" t="s">
        <v>89</v>
      </c>
      <c r="Q116" s="17" t="s">
        <v>79</v>
      </c>
      <c r="R116" s="17" t="s">
        <v>95</v>
      </c>
      <c r="S116" s="17" t="s">
        <v>69</v>
      </c>
      <c r="T116" s="17" t="s">
        <v>272</v>
      </c>
    </row>
    <row r="117" ht="22.5" customHeight="1">
      <c r="A117" s="16">
        <v>45734.52213719908</v>
      </c>
      <c r="B117" s="17" t="s">
        <v>184</v>
      </c>
      <c r="C117" s="17" t="s">
        <v>125</v>
      </c>
      <c r="D117" s="17" t="s">
        <v>72</v>
      </c>
      <c r="E117" s="17" t="s">
        <v>55</v>
      </c>
      <c r="F117" s="17" t="s">
        <v>97</v>
      </c>
      <c r="G117" s="17" t="s">
        <v>132</v>
      </c>
      <c r="H117" s="17" t="s">
        <v>113</v>
      </c>
      <c r="I117" s="17" t="s">
        <v>59</v>
      </c>
      <c r="J117" s="17" t="s">
        <v>126</v>
      </c>
      <c r="K117" s="17" t="s">
        <v>94</v>
      </c>
      <c r="L117" s="17" t="s">
        <v>85</v>
      </c>
      <c r="M117" s="17" t="s">
        <v>98</v>
      </c>
      <c r="N117" s="17" t="s">
        <v>64</v>
      </c>
      <c r="O117" s="17" t="s">
        <v>77</v>
      </c>
      <c r="P117" s="17" t="s">
        <v>89</v>
      </c>
      <c r="Q117" s="17" t="s">
        <v>105</v>
      </c>
      <c r="R117" s="17" t="s">
        <v>95</v>
      </c>
      <c r="S117" s="17" t="s">
        <v>69</v>
      </c>
      <c r="T117" s="17" t="s">
        <v>272</v>
      </c>
    </row>
    <row r="118" ht="22.5" customHeight="1">
      <c r="A118" s="16">
        <v>45734.51697496528</v>
      </c>
      <c r="B118" s="17" t="s">
        <v>128</v>
      </c>
      <c r="C118" s="17" t="s">
        <v>125</v>
      </c>
      <c r="D118" s="17" t="s">
        <v>54</v>
      </c>
      <c r="E118" s="17" t="s">
        <v>73</v>
      </c>
      <c r="F118" s="17" t="s">
        <v>74</v>
      </c>
      <c r="G118" s="17" t="s">
        <v>57</v>
      </c>
      <c r="H118" s="17" t="s">
        <v>82</v>
      </c>
      <c r="I118" s="17" t="s">
        <v>75</v>
      </c>
      <c r="J118" s="17" t="s">
        <v>76</v>
      </c>
      <c r="K118" s="17" t="s">
        <v>61</v>
      </c>
      <c r="L118" s="17" t="s">
        <v>62</v>
      </c>
      <c r="M118" s="17" t="s">
        <v>98</v>
      </c>
      <c r="N118" s="17" t="s">
        <v>107</v>
      </c>
      <c r="O118" s="17" t="s">
        <v>88</v>
      </c>
      <c r="P118" s="17" t="s">
        <v>66</v>
      </c>
      <c r="Q118" s="17" t="s">
        <v>129</v>
      </c>
      <c r="R118" s="17" t="s">
        <v>95</v>
      </c>
      <c r="S118" s="17" t="s">
        <v>69</v>
      </c>
      <c r="T118" s="17" t="s">
        <v>272</v>
      </c>
    </row>
    <row r="119" ht="22.5" customHeight="1">
      <c r="A119" s="16">
        <v>45734.43135777778</v>
      </c>
      <c r="B119" s="17" t="s">
        <v>229</v>
      </c>
      <c r="C119" s="17" t="s">
        <v>91</v>
      </c>
      <c r="D119" s="17" t="s">
        <v>72</v>
      </c>
      <c r="E119" s="17" t="s">
        <v>73</v>
      </c>
      <c r="F119" s="17" t="s">
        <v>142</v>
      </c>
      <c r="G119" s="17" t="s">
        <v>102</v>
      </c>
      <c r="H119" s="17" t="s">
        <v>92</v>
      </c>
      <c r="I119" s="17" t="s">
        <v>83</v>
      </c>
      <c r="J119" s="17" t="s">
        <v>188</v>
      </c>
      <c r="K119" s="17" t="s">
        <v>94</v>
      </c>
      <c r="L119" s="17" t="s">
        <v>123</v>
      </c>
      <c r="M119" s="17" t="s">
        <v>63</v>
      </c>
      <c r="N119" s="17" t="s">
        <v>64</v>
      </c>
      <c r="O119" s="17" t="s">
        <v>88</v>
      </c>
      <c r="P119" s="17" t="s">
        <v>66</v>
      </c>
      <c r="Q119" s="17" t="s">
        <v>67</v>
      </c>
      <c r="R119" s="17" t="s">
        <v>99</v>
      </c>
      <c r="S119" s="17" t="s">
        <v>69</v>
      </c>
      <c r="T119" s="17" t="s">
        <v>272</v>
      </c>
    </row>
    <row r="120" ht="22.5" customHeight="1">
      <c r="A120" s="16">
        <v>45734.41875550926</v>
      </c>
      <c r="B120" s="17" t="s">
        <v>171</v>
      </c>
      <c r="C120" s="17" t="s">
        <v>91</v>
      </c>
      <c r="D120" s="17" t="s">
        <v>81</v>
      </c>
      <c r="E120" s="17" t="s">
        <v>73</v>
      </c>
      <c r="F120" s="17" t="s">
        <v>56</v>
      </c>
      <c r="G120" s="17" t="s">
        <v>132</v>
      </c>
      <c r="H120" s="17" t="s">
        <v>92</v>
      </c>
      <c r="I120" s="17" t="s">
        <v>83</v>
      </c>
      <c r="J120" s="17" t="s">
        <v>60</v>
      </c>
      <c r="K120" s="17" t="s">
        <v>61</v>
      </c>
      <c r="L120" s="17" t="s">
        <v>62</v>
      </c>
      <c r="M120" s="17" t="s">
        <v>63</v>
      </c>
      <c r="N120" s="17" t="s">
        <v>64</v>
      </c>
      <c r="O120" s="17" t="s">
        <v>110</v>
      </c>
      <c r="P120" s="17" t="s">
        <v>78</v>
      </c>
      <c r="Q120" s="17" t="s">
        <v>79</v>
      </c>
      <c r="R120" s="17" t="s">
        <v>99</v>
      </c>
      <c r="S120" s="17" t="s">
        <v>69</v>
      </c>
      <c r="T120" s="17" t="s">
        <v>272</v>
      </c>
    </row>
    <row r="121" ht="22.5" customHeight="1">
      <c r="A121" s="16">
        <v>45734.39085935186</v>
      </c>
      <c r="B121" s="17" t="s">
        <v>185</v>
      </c>
      <c r="C121" s="17" t="s">
        <v>53</v>
      </c>
      <c r="D121" s="17" t="s">
        <v>109</v>
      </c>
      <c r="E121" s="17" t="s">
        <v>73</v>
      </c>
      <c r="F121" s="17" t="s">
        <v>97</v>
      </c>
      <c r="G121" s="17" t="s">
        <v>57</v>
      </c>
      <c r="H121" s="17" t="s">
        <v>92</v>
      </c>
      <c r="I121" s="17" t="s">
        <v>93</v>
      </c>
      <c r="J121" s="17" t="s">
        <v>126</v>
      </c>
      <c r="K121" s="17" t="s">
        <v>94</v>
      </c>
      <c r="L121" s="17" t="s">
        <v>85</v>
      </c>
      <c r="M121" s="17" t="s">
        <v>116</v>
      </c>
      <c r="N121" s="17" t="s">
        <v>64</v>
      </c>
      <c r="O121" s="17" t="s">
        <v>110</v>
      </c>
      <c r="P121" s="17" t="s">
        <v>89</v>
      </c>
      <c r="Q121" s="17" t="s">
        <v>79</v>
      </c>
      <c r="R121" s="17" t="s">
        <v>68</v>
      </c>
      <c r="S121" s="17" t="s">
        <v>69</v>
      </c>
      <c r="T121" s="17" t="s">
        <v>272</v>
      </c>
    </row>
    <row r="122" ht="22.5" customHeight="1">
      <c r="A122" s="16">
        <v>45734.382743622686</v>
      </c>
      <c r="B122" s="17" t="s">
        <v>199</v>
      </c>
      <c r="C122" s="17" t="s">
        <v>125</v>
      </c>
      <c r="D122" s="17" t="s">
        <v>72</v>
      </c>
      <c r="E122" s="17" t="s">
        <v>101</v>
      </c>
      <c r="F122" s="17" t="s">
        <v>56</v>
      </c>
      <c r="G122" s="17" t="s">
        <v>132</v>
      </c>
      <c r="H122" s="17" t="s">
        <v>92</v>
      </c>
      <c r="I122" s="17" t="s">
        <v>59</v>
      </c>
      <c r="J122" s="17" t="s">
        <v>76</v>
      </c>
      <c r="K122" s="17" t="s">
        <v>94</v>
      </c>
      <c r="L122" s="17" t="s">
        <v>123</v>
      </c>
      <c r="M122" s="17" t="s">
        <v>116</v>
      </c>
      <c r="N122" s="17" t="s">
        <v>64</v>
      </c>
      <c r="O122" s="17" t="s">
        <v>88</v>
      </c>
      <c r="P122" s="17" t="s">
        <v>117</v>
      </c>
      <c r="Q122" s="17" t="s">
        <v>129</v>
      </c>
      <c r="R122" s="17" t="s">
        <v>103</v>
      </c>
      <c r="S122" s="17" t="s">
        <v>69</v>
      </c>
      <c r="T122" s="17" t="s">
        <v>272</v>
      </c>
    </row>
    <row r="123" ht="22.5" customHeight="1">
      <c r="A123" s="16">
        <v>45734.345247881945</v>
      </c>
      <c r="B123" s="17" t="s">
        <v>140</v>
      </c>
      <c r="C123" s="17" t="s">
        <v>71</v>
      </c>
      <c r="D123" s="17" t="s">
        <v>54</v>
      </c>
      <c r="E123" s="17" t="s">
        <v>55</v>
      </c>
      <c r="F123" s="17" t="s">
        <v>56</v>
      </c>
      <c r="G123" s="17" t="s">
        <v>57</v>
      </c>
      <c r="H123" s="17" t="s">
        <v>113</v>
      </c>
      <c r="I123" s="17" t="s">
        <v>93</v>
      </c>
      <c r="J123" s="17" t="s">
        <v>126</v>
      </c>
      <c r="K123" s="17" t="s">
        <v>61</v>
      </c>
      <c r="L123" s="17" t="s">
        <v>85</v>
      </c>
      <c r="M123" s="17" t="s">
        <v>116</v>
      </c>
      <c r="N123" s="17" t="s">
        <v>87</v>
      </c>
      <c r="O123" s="17" t="s">
        <v>77</v>
      </c>
      <c r="P123" s="17" t="s">
        <v>78</v>
      </c>
      <c r="Q123" s="17" t="s">
        <v>79</v>
      </c>
      <c r="R123" s="17" t="s">
        <v>95</v>
      </c>
      <c r="S123" s="17" t="s">
        <v>69</v>
      </c>
      <c r="T123" s="17" t="s">
        <v>272</v>
      </c>
    </row>
    <row r="124" ht="22.5" customHeight="1">
      <c r="A124" s="16">
        <v>45734.331079537034</v>
      </c>
      <c r="B124" s="17" t="s">
        <v>208</v>
      </c>
      <c r="C124" s="17" t="s">
        <v>125</v>
      </c>
      <c r="D124" s="17" t="s">
        <v>81</v>
      </c>
      <c r="E124" s="17" t="s">
        <v>55</v>
      </c>
      <c r="F124" s="17" t="s">
        <v>97</v>
      </c>
      <c r="G124" s="17" t="s">
        <v>132</v>
      </c>
      <c r="H124" s="17" t="s">
        <v>113</v>
      </c>
      <c r="I124" s="17" t="s">
        <v>83</v>
      </c>
      <c r="J124" s="17" t="s">
        <v>76</v>
      </c>
      <c r="K124" s="17" t="s">
        <v>94</v>
      </c>
      <c r="L124" s="17" t="s">
        <v>123</v>
      </c>
      <c r="M124" s="17" t="s">
        <v>63</v>
      </c>
      <c r="N124" s="17" t="s">
        <v>64</v>
      </c>
      <c r="O124" s="17" t="s">
        <v>110</v>
      </c>
      <c r="P124" s="17" t="s">
        <v>66</v>
      </c>
      <c r="Q124" s="17" t="s">
        <v>129</v>
      </c>
      <c r="R124" s="17" t="s">
        <v>103</v>
      </c>
      <c r="S124" s="17" t="s">
        <v>69</v>
      </c>
      <c r="T124" s="17" t="s">
        <v>272</v>
      </c>
    </row>
    <row r="125" ht="22.5" customHeight="1">
      <c r="A125" s="16">
        <v>45734.21121677083</v>
      </c>
      <c r="B125" s="17" t="s">
        <v>207</v>
      </c>
      <c r="C125" s="17" t="s">
        <v>71</v>
      </c>
      <c r="D125" s="17" t="s">
        <v>54</v>
      </c>
      <c r="E125" s="17" t="s">
        <v>121</v>
      </c>
      <c r="F125" s="17" t="s">
        <v>56</v>
      </c>
      <c r="G125" s="17" t="s">
        <v>132</v>
      </c>
      <c r="H125" s="17" t="s">
        <v>92</v>
      </c>
      <c r="I125" s="17" t="s">
        <v>83</v>
      </c>
      <c r="J125" s="17" t="s">
        <v>76</v>
      </c>
      <c r="K125" s="17" t="s">
        <v>61</v>
      </c>
      <c r="L125" s="17" t="s">
        <v>123</v>
      </c>
      <c r="M125" s="17" t="s">
        <v>116</v>
      </c>
      <c r="N125" s="17" t="s">
        <v>64</v>
      </c>
      <c r="O125" s="17" t="s">
        <v>88</v>
      </c>
      <c r="P125" s="17" t="s">
        <v>66</v>
      </c>
      <c r="Q125" s="17" t="s">
        <v>67</v>
      </c>
      <c r="R125" s="17" t="s">
        <v>95</v>
      </c>
      <c r="S125" s="17" t="s">
        <v>69</v>
      </c>
      <c r="T125" s="17" t="s">
        <v>272</v>
      </c>
    </row>
    <row r="126" ht="22.5" customHeight="1">
      <c r="A126" s="16">
        <v>45734.1346493287</v>
      </c>
      <c r="B126" s="17" t="s">
        <v>193</v>
      </c>
      <c r="C126" s="17" t="s">
        <v>53</v>
      </c>
      <c r="D126" s="17" t="s">
        <v>109</v>
      </c>
      <c r="E126" s="17" t="s">
        <v>55</v>
      </c>
      <c r="F126" s="17" t="s">
        <v>56</v>
      </c>
      <c r="G126" s="17" t="s">
        <v>102</v>
      </c>
      <c r="H126" s="17" t="s">
        <v>92</v>
      </c>
      <c r="I126" s="17" t="s">
        <v>59</v>
      </c>
      <c r="J126" s="17" t="s">
        <v>76</v>
      </c>
      <c r="K126" s="17" t="s">
        <v>61</v>
      </c>
      <c r="L126" s="17" t="s">
        <v>85</v>
      </c>
      <c r="M126" s="17" t="s">
        <v>98</v>
      </c>
      <c r="N126" s="17" t="s">
        <v>107</v>
      </c>
      <c r="O126" s="17" t="s">
        <v>77</v>
      </c>
      <c r="P126" s="17" t="s">
        <v>89</v>
      </c>
      <c r="Q126" s="17" t="s">
        <v>129</v>
      </c>
      <c r="R126" s="17" t="s">
        <v>103</v>
      </c>
      <c r="S126" s="17" t="s">
        <v>69</v>
      </c>
      <c r="T126" s="17" t="s">
        <v>272</v>
      </c>
    </row>
    <row r="127" ht="22.5" customHeight="1">
      <c r="A127" s="16">
        <v>45733.89382409722</v>
      </c>
      <c r="B127" s="17" t="s">
        <v>156</v>
      </c>
      <c r="C127" s="17" t="s">
        <v>125</v>
      </c>
      <c r="D127" s="17" t="s">
        <v>54</v>
      </c>
      <c r="E127" s="17" t="s">
        <v>55</v>
      </c>
      <c r="F127" s="17" t="s">
        <v>56</v>
      </c>
      <c r="G127" s="17" t="s">
        <v>132</v>
      </c>
      <c r="H127" s="17" t="s">
        <v>82</v>
      </c>
      <c r="I127" s="17" t="s">
        <v>59</v>
      </c>
      <c r="J127" s="17" t="s">
        <v>76</v>
      </c>
      <c r="K127" s="17" t="s">
        <v>94</v>
      </c>
      <c r="L127" s="17" t="s">
        <v>154</v>
      </c>
      <c r="M127" s="17" t="s">
        <v>98</v>
      </c>
      <c r="N127" s="17" t="s">
        <v>64</v>
      </c>
      <c r="O127" s="17" t="s">
        <v>88</v>
      </c>
      <c r="P127" s="17" t="s">
        <v>89</v>
      </c>
      <c r="Q127" s="17" t="s">
        <v>105</v>
      </c>
      <c r="R127" s="17" t="s">
        <v>68</v>
      </c>
      <c r="S127" s="17" t="s">
        <v>69</v>
      </c>
      <c r="T127" s="17" t="s">
        <v>272</v>
      </c>
    </row>
    <row r="128" ht="22.5" customHeight="1">
      <c r="A128" s="16">
        <v>45733.85375921296</v>
      </c>
      <c r="B128" s="17" t="s">
        <v>120</v>
      </c>
      <c r="C128" s="17" t="s">
        <v>71</v>
      </c>
      <c r="D128" s="17" t="s">
        <v>54</v>
      </c>
      <c r="E128" s="17" t="s">
        <v>121</v>
      </c>
      <c r="F128" s="17" t="s">
        <v>97</v>
      </c>
      <c r="G128" s="17" t="s">
        <v>102</v>
      </c>
      <c r="H128" s="17" t="s">
        <v>92</v>
      </c>
      <c r="I128" s="17" t="s">
        <v>93</v>
      </c>
      <c r="J128" s="17" t="s">
        <v>76</v>
      </c>
      <c r="K128" s="17" t="s">
        <v>61</v>
      </c>
      <c r="L128" s="17" t="s">
        <v>62</v>
      </c>
      <c r="M128" s="17" t="s">
        <v>116</v>
      </c>
      <c r="N128" s="17" t="s">
        <v>87</v>
      </c>
      <c r="O128" s="17" t="s">
        <v>77</v>
      </c>
      <c r="P128" s="17" t="s">
        <v>78</v>
      </c>
      <c r="Q128" s="17" t="s">
        <v>67</v>
      </c>
      <c r="R128" s="17" t="s">
        <v>95</v>
      </c>
      <c r="S128" s="17" t="s">
        <v>69</v>
      </c>
      <c r="T128" s="17" t="s">
        <v>272</v>
      </c>
    </row>
    <row r="129" ht="22.5" customHeight="1">
      <c r="A129" s="16">
        <v>45733.84773263889</v>
      </c>
      <c r="B129" s="17" t="s">
        <v>202</v>
      </c>
      <c r="C129" s="17" t="s">
        <v>53</v>
      </c>
      <c r="D129" s="17" t="s">
        <v>54</v>
      </c>
      <c r="E129" s="17" t="s">
        <v>55</v>
      </c>
      <c r="F129" s="17" t="s">
        <v>97</v>
      </c>
      <c r="G129" s="17" t="s">
        <v>132</v>
      </c>
      <c r="H129" s="17" t="s">
        <v>113</v>
      </c>
      <c r="I129" s="17" t="s">
        <v>93</v>
      </c>
      <c r="J129" s="17" t="s">
        <v>76</v>
      </c>
      <c r="K129" s="17" t="s">
        <v>94</v>
      </c>
      <c r="L129" s="17" t="s">
        <v>85</v>
      </c>
      <c r="M129" s="17" t="s">
        <v>116</v>
      </c>
      <c r="N129" s="17" t="s">
        <v>107</v>
      </c>
      <c r="O129" s="17" t="s">
        <v>77</v>
      </c>
      <c r="P129" s="17" t="s">
        <v>89</v>
      </c>
      <c r="Q129" s="17" t="s">
        <v>79</v>
      </c>
      <c r="R129" s="17" t="s">
        <v>68</v>
      </c>
      <c r="S129" s="17" t="s">
        <v>69</v>
      </c>
      <c r="T129" s="17" t="s">
        <v>272</v>
      </c>
    </row>
    <row r="130" ht="22.5" customHeight="1">
      <c r="A130" s="16">
        <v>45733.83335877315</v>
      </c>
      <c r="B130" s="17" t="s">
        <v>151</v>
      </c>
      <c r="C130" s="17" t="s">
        <v>125</v>
      </c>
      <c r="D130" s="17" t="s">
        <v>109</v>
      </c>
      <c r="E130" s="17" t="s">
        <v>73</v>
      </c>
      <c r="F130" s="17" t="s">
        <v>74</v>
      </c>
      <c r="G130" s="17" t="s">
        <v>136</v>
      </c>
      <c r="H130" s="17" t="s">
        <v>82</v>
      </c>
      <c r="I130" s="17" t="s">
        <v>93</v>
      </c>
      <c r="J130" s="17" t="s">
        <v>76</v>
      </c>
      <c r="K130" s="17" t="s">
        <v>94</v>
      </c>
      <c r="L130" s="17" t="s">
        <v>62</v>
      </c>
      <c r="M130" s="17" t="s">
        <v>86</v>
      </c>
      <c r="N130" s="17" t="s">
        <v>138</v>
      </c>
      <c r="O130" s="17" t="s">
        <v>110</v>
      </c>
      <c r="P130" s="17" t="s">
        <v>66</v>
      </c>
      <c r="Q130" s="17" t="s">
        <v>129</v>
      </c>
      <c r="R130" s="17" t="s">
        <v>68</v>
      </c>
      <c r="S130" s="17" t="s">
        <v>69</v>
      </c>
      <c r="T130" s="17" t="s">
        <v>272</v>
      </c>
    </row>
    <row r="131" ht="22.5" customHeight="1">
      <c r="A131" s="16">
        <v>45733.81591510416</v>
      </c>
      <c r="B131" s="17" t="s">
        <v>134</v>
      </c>
      <c r="C131" s="17" t="s">
        <v>71</v>
      </c>
      <c r="D131" s="17" t="s">
        <v>72</v>
      </c>
      <c r="E131" s="17" t="s">
        <v>55</v>
      </c>
      <c r="F131" s="17" t="s">
        <v>97</v>
      </c>
      <c r="G131" s="17" t="s">
        <v>132</v>
      </c>
      <c r="H131" s="17" t="s">
        <v>92</v>
      </c>
      <c r="I131" s="17" t="s">
        <v>83</v>
      </c>
      <c r="J131" s="17" t="s">
        <v>76</v>
      </c>
      <c r="K131" s="17" t="s">
        <v>61</v>
      </c>
      <c r="L131" s="17" t="s">
        <v>123</v>
      </c>
      <c r="M131" s="17" t="s">
        <v>116</v>
      </c>
      <c r="N131" s="17" t="s">
        <v>107</v>
      </c>
      <c r="O131" s="17" t="s">
        <v>88</v>
      </c>
      <c r="P131" s="17" t="s">
        <v>89</v>
      </c>
      <c r="Q131" s="17" t="s">
        <v>105</v>
      </c>
      <c r="R131" s="17" t="s">
        <v>95</v>
      </c>
      <c r="S131" s="17" t="s">
        <v>69</v>
      </c>
      <c r="T131" s="17" t="s">
        <v>272</v>
      </c>
    </row>
    <row r="132" ht="22.5" customHeight="1">
      <c r="A132" s="16">
        <v>45733.646594108795</v>
      </c>
      <c r="B132" s="17" t="s">
        <v>194</v>
      </c>
      <c r="C132" s="17" t="s">
        <v>71</v>
      </c>
      <c r="D132" s="17" t="s">
        <v>81</v>
      </c>
      <c r="E132" s="17" t="s">
        <v>101</v>
      </c>
      <c r="F132" s="17" t="s">
        <v>97</v>
      </c>
      <c r="G132" s="17" t="s">
        <v>57</v>
      </c>
      <c r="H132" s="17" t="s">
        <v>92</v>
      </c>
      <c r="I132" s="17" t="s">
        <v>75</v>
      </c>
      <c r="J132" s="17" t="s">
        <v>126</v>
      </c>
      <c r="K132" s="17" t="s">
        <v>94</v>
      </c>
      <c r="L132" s="17" t="s">
        <v>123</v>
      </c>
      <c r="M132" s="17" t="s">
        <v>86</v>
      </c>
      <c r="N132" s="17" t="s">
        <v>138</v>
      </c>
      <c r="O132" s="17" t="s">
        <v>88</v>
      </c>
      <c r="P132" s="17" t="s">
        <v>117</v>
      </c>
      <c r="Q132" s="17" t="s">
        <v>105</v>
      </c>
      <c r="R132" s="17" t="s">
        <v>99</v>
      </c>
      <c r="S132" s="17" t="s">
        <v>69</v>
      </c>
      <c r="T132" s="17" t="s">
        <v>272</v>
      </c>
    </row>
    <row r="133" ht="22.5" customHeight="1">
      <c r="A133" s="16">
        <v>45733.58648868055</v>
      </c>
      <c r="B133" s="17" t="s">
        <v>223</v>
      </c>
      <c r="C133" s="17" t="s">
        <v>71</v>
      </c>
      <c r="D133" s="17" t="s">
        <v>109</v>
      </c>
      <c r="E133" s="17" t="s">
        <v>101</v>
      </c>
      <c r="F133" s="17" t="s">
        <v>97</v>
      </c>
      <c r="G133" s="17" t="s">
        <v>132</v>
      </c>
      <c r="H133" s="17" t="s">
        <v>113</v>
      </c>
      <c r="I133" s="17" t="s">
        <v>75</v>
      </c>
      <c r="J133" s="17" t="s">
        <v>76</v>
      </c>
      <c r="K133" s="17" t="s">
        <v>94</v>
      </c>
      <c r="L133" s="17" t="s">
        <v>85</v>
      </c>
      <c r="M133" s="17" t="s">
        <v>116</v>
      </c>
      <c r="N133" s="17" t="s">
        <v>64</v>
      </c>
      <c r="O133" s="17" t="s">
        <v>88</v>
      </c>
      <c r="P133" s="17" t="s">
        <v>66</v>
      </c>
      <c r="Q133" s="17" t="s">
        <v>79</v>
      </c>
      <c r="R133" s="17" t="s">
        <v>68</v>
      </c>
      <c r="S133" s="17" t="s">
        <v>69</v>
      </c>
      <c r="T133" s="17" t="s">
        <v>272</v>
      </c>
    </row>
    <row r="134" ht="22.5" customHeight="1">
      <c r="A134" s="16">
        <v>45733.54873574074</v>
      </c>
      <c r="B134" s="17" t="s">
        <v>106</v>
      </c>
      <c r="C134" s="17" t="s">
        <v>53</v>
      </c>
      <c r="D134" s="17" t="s">
        <v>81</v>
      </c>
      <c r="E134" s="17" t="s">
        <v>55</v>
      </c>
      <c r="F134" s="17" t="s">
        <v>56</v>
      </c>
      <c r="G134" s="17" t="s">
        <v>57</v>
      </c>
      <c r="H134" s="17" t="s">
        <v>82</v>
      </c>
      <c r="I134" s="17" t="s">
        <v>93</v>
      </c>
      <c r="J134" s="17" t="s">
        <v>60</v>
      </c>
      <c r="K134" s="17" t="s">
        <v>61</v>
      </c>
      <c r="L134" s="17" t="s">
        <v>62</v>
      </c>
      <c r="M134" s="17" t="s">
        <v>98</v>
      </c>
      <c r="N134" s="17" t="s">
        <v>107</v>
      </c>
      <c r="O134" s="17" t="s">
        <v>88</v>
      </c>
      <c r="P134" s="17" t="s">
        <v>78</v>
      </c>
      <c r="Q134" s="17" t="s">
        <v>105</v>
      </c>
      <c r="R134" s="17" t="s">
        <v>99</v>
      </c>
      <c r="S134" s="17" t="s">
        <v>69</v>
      </c>
      <c r="T134" s="17" t="s">
        <v>272</v>
      </c>
    </row>
  </sheetData>
  <drawing r:id="rId1"/>
  <tableParts count="1">
    <tablePart r:id="rId3"/>
  </tableParts>
</worksheet>
</file>